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hannahferraro/Desktop/Masters/Datasheets/Lab Analysis/"/>
    </mc:Choice>
  </mc:AlternateContent>
  <xr:revisionPtr revIDLastSave="2004" documentId="13_ncr:1_{E99D6FA8-A0A2-FD43-B006-A811E6300C8E}" xr6:coauthVersionLast="47" xr6:coauthVersionMax="47" xr10:uidLastSave="{DF4B9701-7C4E-4B29-999A-45B8FCAEC5F0}"/>
  <bookViews>
    <workbookView xWindow="13180" yWindow="500" windowWidth="15240" windowHeight="16440" xr2:uid="{B660C8A4-04E2-6741-A994-6DCDE6E9B9BE}"/>
  </bookViews>
  <sheets>
    <sheet name="SEDDATA" sheetId="1" r:id="rId1"/>
    <sheet name="METADATA" sheetId="2" r:id="rId2"/>
  </sheets>
  <definedNames>
    <definedName name="_xlnm._FilterDatabase" localSheetId="0" hidden="1">SEDDATA!$A$1:$T$1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2" i="1"/>
</calcChain>
</file>

<file path=xl/sharedStrings.xml><?xml version="1.0" encoding="utf-8"?>
<sst xmlns="http://schemas.openxmlformats.org/spreadsheetml/2006/main" count="791" uniqueCount="406">
  <si>
    <t>SAMPLEID</t>
  </si>
  <si>
    <t>SITE</t>
  </si>
  <si>
    <t>TREATMENT</t>
  </si>
  <si>
    <t>QUADRAT</t>
  </si>
  <si>
    <t>TIME</t>
  </si>
  <si>
    <t>IDNUMBERS</t>
  </si>
  <si>
    <t>DBD1</t>
  </si>
  <si>
    <t>DBD2</t>
  </si>
  <si>
    <t>DBD3</t>
  </si>
  <si>
    <t>DBD4</t>
  </si>
  <si>
    <t>DBD</t>
  </si>
  <si>
    <t>OM1</t>
  </si>
  <si>
    <t>OC1</t>
  </si>
  <si>
    <t>SCD1</t>
  </si>
  <si>
    <t>OM2</t>
  </si>
  <si>
    <t>OC2</t>
  </si>
  <si>
    <t>SCD2</t>
  </si>
  <si>
    <t>SCD</t>
  </si>
  <si>
    <t>MEANGRAIN</t>
  </si>
  <si>
    <t>SDGRAIN</t>
  </si>
  <si>
    <t>FB-HI-01</t>
  </si>
  <si>
    <t>FB</t>
  </si>
  <si>
    <t>HI</t>
  </si>
  <si>
    <t>145, 146, 147, 148</t>
  </si>
  <si>
    <t>FB-HO-01</t>
  </si>
  <si>
    <t>HO</t>
  </si>
  <si>
    <t>149, 150, 151, 152</t>
  </si>
  <si>
    <t>FB-SI-01</t>
  </si>
  <si>
    <t>SI</t>
  </si>
  <si>
    <t>153, 154, 155, 156</t>
  </si>
  <si>
    <t>FB-SO-01</t>
  </si>
  <si>
    <t>SO</t>
  </si>
  <si>
    <t>157, 158, 158, 160</t>
  </si>
  <si>
    <t>FB-HI-02</t>
  </si>
  <si>
    <t>161, 162, 163, 164</t>
  </si>
  <si>
    <t>FB-HO-02</t>
  </si>
  <si>
    <t>165, 166, 167, 168</t>
  </si>
  <si>
    <t>FB-SI-02</t>
  </si>
  <si>
    <t>169, 170, 171, 172</t>
  </si>
  <si>
    <t>FB-SO-02</t>
  </si>
  <si>
    <t>173, 174, 175, 176</t>
  </si>
  <si>
    <t>FB-HI-03</t>
  </si>
  <si>
    <t>177, 178, 179, 180</t>
  </si>
  <si>
    <t>FB-HO-03</t>
  </si>
  <si>
    <t>181, 182, 183, 184</t>
  </si>
  <si>
    <t>FB-SI-03</t>
  </si>
  <si>
    <t>185, 186, 187, 188</t>
  </si>
  <si>
    <t>FB-SO-03</t>
  </si>
  <si>
    <t>189, 190, 191, 192</t>
  </si>
  <si>
    <t>FB-HI-04</t>
  </si>
  <si>
    <t>289, 290, 291, 292</t>
  </si>
  <si>
    <t>FB-HO-04</t>
  </si>
  <si>
    <t>293, 294, 295, 296</t>
  </si>
  <si>
    <t>FB-SI-04</t>
  </si>
  <si>
    <t>297, 298, 299, 300</t>
  </si>
  <si>
    <t>FB-SO-04</t>
  </si>
  <si>
    <t>301, 302, 303, 304</t>
  </si>
  <si>
    <t>FB-HI-05</t>
  </si>
  <si>
    <t>305, 306, 307, 308</t>
  </si>
  <si>
    <t>FB-HO-05</t>
  </si>
  <si>
    <t>309, 310, 311, 312</t>
  </si>
  <si>
    <t>FB-SI-05</t>
  </si>
  <si>
    <t>313, 314, 315, 316</t>
  </si>
  <si>
    <t>FB-SO-05</t>
  </si>
  <si>
    <t>317, 318, 319, 320</t>
  </si>
  <si>
    <t>FB-HI-06</t>
  </si>
  <si>
    <t>321, 322, 323, 324</t>
  </si>
  <si>
    <t>FB-HO-06</t>
  </si>
  <si>
    <t>325, 326, 327, 328</t>
  </si>
  <si>
    <t>FB-SI-06</t>
  </si>
  <si>
    <t>329, 330, 331, 332</t>
  </si>
  <si>
    <t>FB-SO-06</t>
  </si>
  <si>
    <t>333, 334, 335, 336</t>
  </si>
  <si>
    <t>FB-HI-07</t>
  </si>
  <si>
    <t>433, 434, 435, 436</t>
  </si>
  <si>
    <t>FB-HO-07</t>
  </si>
  <si>
    <t>437, 438, 439, 440</t>
  </si>
  <si>
    <t>FB-SI-07</t>
  </si>
  <si>
    <t>441, 442, 443, 444</t>
  </si>
  <si>
    <t>FB-SO-07</t>
  </si>
  <si>
    <t>445, 446, 447, 448</t>
  </si>
  <si>
    <t>FB-HI-08</t>
  </si>
  <si>
    <t>449, 450, 451, 452</t>
  </si>
  <si>
    <t>FB-HO-08</t>
  </si>
  <si>
    <t>453, 454, 455, 456</t>
  </si>
  <si>
    <t>FB-SI-08</t>
  </si>
  <si>
    <t>457, 458, 459, 460</t>
  </si>
  <si>
    <t>FB-SO-08</t>
  </si>
  <si>
    <t>461, 462, 463, 464</t>
  </si>
  <si>
    <t>FB-HI-09</t>
  </si>
  <si>
    <t>465, 466, 467, 468</t>
  </si>
  <si>
    <t>FB-HO-09</t>
  </si>
  <si>
    <t>469,470, 471, 472</t>
  </si>
  <si>
    <t>FB-SI-09</t>
  </si>
  <si>
    <t>473, 474, 475, 476</t>
  </si>
  <si>
    <t>FB-SO-09</t>
  </si>
  <si>
    <t>477, 478, 479, 480</t>
  </si>
  <si>
    <t>FB-HI-10</t>
  </si>
  <si>
    <t>577, 578, 579, 580</t>
  </si>
  <si>
    <t>FB-HO-10</t>
  </si>
  <si>
    <t>581, 582, 583, 584</t>
  </si>
  <si>
    <t>FB-SI-10</t>
  </si>
  <si>
    <t>585, 586, 587, 588</t>
  </si>
  <si>
    <t>FB-SO-10</t>
  </si>
  <si>
    <t>589, 590, 591, 592</t>
  </si>
  <si>
    <t>FB-HI-11</t>
  </si>
  <si>
    <t>593, 594, 595, 596</t>
  </si>
  <si>
    <t>FB-HO-11</t>
  </si>
  <si>
    <t>597, 598, 599, 600</t>
  </si>
  <si>
    <t>FB-SI-11</t>
  </si>
  <si>
    <t>601, 602, 603, 604</t>
  </si>
  <si>
    <t>FB-SO-11</t>
  </si>
  <si>
    <t>605, 606, 607, 608</t>
  </si>
  <si>
    <t>FB-HI-12</t>
  </si>
  <si>
    <t>609, 610, 611, 612</t>
  </si>
  <si>
    <t>FB-HO-12</t>
  </si>
  <si>
    <t>613, 614, 615, 616</t>
  </si>
  <si>
    <t>FB-SI-12</t>
  </si>
  <si>
    <t>617, 618, 619, 620</t>
  </si>
  <si>
    <t>FB-SO-12</t>
  </si>
  <si>
    <t>621, 622, 623, 624</t>
  </si>
  <si>
    <t>FB-HI-13</t>
  </si>
  <si>
    <t>1, 2, 3, 4</t>
  </si>
  <si>
    <t>FB-HO-13</t>
  </si>
  <si>
    <t>5, 7, 14, 16</t>
  </si>
  <si>
    <t>FB-SI-13</t>
  </si>
  <si>
    <t>25, 26, 27, 28</t>
  </si>
  <si>
    <t>FB-SO-13</t>
  </si>
  <si>
    <t>29, 31, 38, 40</t>
  </si>
  <si>
    <t>FB-HI-14</t>
  </si>
  <si>
    <t>6, 8, 9, 11</t>
  </si>
  <si>
    <t>FB-HO-14</t>
  </si>
  <si>
    <t>13, 15, 18, 20</t>
  </si>
  <si>
    <t>FB-SI-14</t>
  </si>
  <si>
    <t>30, 32, 33, 35</t>
  </si>
  <si>
    <t>FB-SO-14</t>
  </si>
  <si>
    <t>37, 39, 42, 44</t>
  </si>
  <si>
    <t>FB-HI-15</t>
  </si>
  <si>
    <t>10, 12, 17, 19</t>
  </si>
  <si>
    <t>FB-HO-15</t>
  </si>
  <si>
    <t>21, 22, 23, 24</t>
  </si>
  <si>
    <t>FB-SI-15</t>
  </si>
  <si>
    <t>34, 36, 41, 43</t>
  </si>
  <si>
    <t>FB-SO-15</t>
  </si>
  <si>
    <t>45, 46, 47, 48</t>
  </si>
  <si>
    <t>BB-HI-01</t>
  </si>
  <si>
    <t>BB</t>
  </si>
  <si>
    <t>193, 194, 195, 196</t>
  </si>
  <si>
    <t>BB-HO-01</t>
  </si>
  <si>
    <t>197, 198, 199, 200</t>
  </si>
  <si>
    <t>BB-SI-01</t>
  </si>
  <si>
    <t>201, 202, 203, 204</t>
  </si>
  <si>
    <t>BB-SO-01</t>
  </si>
  <si>
    <t>205, 206, 207, 208</t>
  </si>
  <si>
    <t>BB-HI-02</t>
  </si>
  <si>
    <t>209, 210, 211, 212</t>
  </si>
  <si>
    <t>BB-HO-02</t>
  </si>
  <si>
    <t>213, 214, 215, 216</t>
  </si>
  <si>
    <t>BB-SI-02</t>
  </si>
  <si>
    <t>217, 218, 219, 220</t>
  </si>
  <si>
    <t>BB-SO-02</t>
  </si>
  <si>
    <t>221, 222, 223, 224</t>
  </si>
  <si>
    <t>BB-HI-03</t>
  </si>
  <si>
    <t>225, 226, 227, 228</t>
  </si>
  <si>
    <t>BB-HO-03</t>
  </si>
  <si>
    <t>229, 230, 231, 232</t>
  </si>
  <si>
    <t>BB-SI-03</t>
  </si>
  <si>
    <t>233, 234, 235, 236</t>
  </si>
  <si>
    <t>BB-SO-03</t>
  </si>
  <si>
    <t>237, 238, 239, 240</t>
  </si>
  <si>
    <t>BB-HI-04</t>
  </si>
  <si>
    <t>337, 338, 339, 340</t>
  </si>
  <si>
    <t>BB-HO-04</t>
  </si>
  <si>
    <t>341, 342, 343, 344</t>
  </si>
  <si>
    <t>BB-SI-04</t>
  </si>
  <si>
    <t>345, 346, 347, 348</t>
  </si>
  <si>
    <t>BB-SO-04</t>
  </si>
  <si>
    <t>349, 350, 351, 352</t>
  </si>
  <si>
    <t>BB-HI-05</t>
  </si>
  <si>
    <t>353, 354, 355, 356</t>
  </si>
  <si>
    <t>BB-HO-05</t>
  </si>
  <si>
    <t>357, 358, 359, 360</t>
  </si>
  <si>
    <t>BB-SI-05</t>
  </si>
  <si>
    <t>361, 362, 363 364</t>
  </si>
  <si>
    <t>BB-SO-05</t>
  </si>
  <si>
    <t>365, 366, 367, 368</t>
  </si>
  <si>
    <t>BB-HI-06</t>
  </si>
  <si>
    <t>369, 370, 371, 372</t>
  </si>
  <si>
    <t>BB-HO-06</t>
  </si>
  <si>
    <t>373, 374, 375, 376</t>
  </si>
  <si>
    <t>BB-SI-06</t>
  </si>
  <si>
    <t>377, 378, 379, 380</t>
  </si>
  <si>
    <t>BB-SO-06</t>
  </si>
  <si>
    <t>381, 382, 383, 384</t>
  </si>
  <si>
    <t>BB-HI-07</t>
  </si>
  <si>
    <t>481, 482, 483, 484</t>
  </si>
  <si>
    <t>BB-HO-07</t>
  </si>
  <si>
    <t>485, 486, 487, 488</t>
  </si>
  <si>
    <t>BB-SI-07</t>
  </si>
  <si>
    <t>489, 490, 491, 492</t>
  </si>
  <si>
    <t>BB-SO-07</t>
  </si>
  <si>
    <t>493, 494, 495, 496</t>
  </si>
  <si>
    <t>BB-HI-08</t>
  </si>
  <si>
    <t>497, 498, 499, 500</t>
  </si>
  <si>
    <t>BB-HO-08</t>
  </si>
  <si>
    <t>501, 502, 503, 504</t>
  </si>
  <si>
    <t>BB-SI-08</t>
  </si>
  <si>
    <t>505, 506, 507, 508</t>
  </si>
  <si>
    <t>BB-SO-08</t>
  </si>
  <si>
    <t>509, 510, 511, 512</t>
  </si>
  <si>
    <t>BB-HI-09</t>
  </si>
  <si>
    <t>513, 514, 515, 516</t>
  </si>
  <si>
    <t>BB-HO-09</t>
  </si>
  <si>
    <t>517, 518, 519, 520</t>
  </si>
  <si>
    <t>BB-SI-09</t>
  </si>
  <si>
    <t xml:space="preserve">521, 522, 523, 524 </t>
  </si>
  <si>
    <t>BB-SO-09</t>
  </si>
  <si>
    <t>525, 526, 527, 528</t>
  </si>
  <si>
    <t>BB-HI-10</t>
  </si>
  <si>
    <t>625, 626, 627, 628</t>
  </si>
  <si>
    <t>BB-HO-10</t>
  </si>
  <si>
    <t>629, 630, 631, 632</t>
  </si>
  <si>
    <t>BB-SI-10</t>
  </si>
  <si>
    <t>633, 634, 635, 636</t>
  </si>
  <si>
    <t>BB-SO-10</t>
  </si>
  <si>
    <t>637, 638, 639, 640</t>
  </si>
  <si>
    <t>BB-HI-11</t>
  </si>
  <si>
    <t>641, 642, 643, 644</t>
  </si>
  <si>
    <t>BB-HO-11</t>
  </si>
  <si>
    <t>645, 646, 647, 648</t>
  </si>
  <si>
    <t>BB-SI-11</t>
  </si>
  <si>
    <t>649, 650, 651, 652</t>
  </si>
  <si>
    <t>BB-SO-11</t>
  </si>
  <si>
    <t>653, 654, 655, 656</t>
  </si>
  <si>
    <t>BB-HI-12</t>
  </si>
  <si>
    <t>657, 658, 659, 660</t>
  </si>
  <si>
    <t>BB-HO-12</t>
  </si>
  <si>
    <t>661, 662, 663, 664</t>
  </si>
  <si>
    <t>BB-SI-12</t>
  </si>
  <si>
    <t>665, 666, 667, 668</t>
  </si>
  <si>
    <t>BB-SO-12</t>
  </si>
  <si>
    <t>669, 670, 671, 672</t>
  </si>
  <si>
    <t>BB-HI-13</t>
  </si>
  <si>
    <t>49, 50, 51, 52</t>
  </si>
  <si>
    <t>BB-HO-13</t>
  </si>
  <si>
    <t>53, 54, 55, 56</t>
  </si>
  <si>
    <t>BB-SI-13</t>
  </si>
  <si>
    <t>57, 58, 59, 60</t>
  </si>
  <si>
    <t>BB-SO-13</t>
  </si>
  <si>
    <t>61, 62, 63, 64</t>
  </si>
  <si>
    <t>BB-HI-14</t>
  </si>
  <si>
    <t>65, 66, 67, 68</t>
  </si>
  <si>
    <t>69, 70, 71, 72</t>
  </si>
  <si>
    <t>BB-SI-14</t>
  </si>
  <si>
    <t>73, 74, 75, 76</t>
  </si>
  <si>
    <t>BB-SO-14</t>
  </si>
  <si>
    <t>77, 78, 79, 80</t>
  </si>
  <si>
    <t>BB-HI-15</t>
  </si>
  <si>
    <t>81, 82, 83, 84</t>
  </si>
  <si>
    <t>BB-HO-15</t>
  </si>
  <si>
    <t>85, 86, 87, 88</t>
  </si>
  <si>
    <t>BB-SI-15</t>
  </si>
  <si>
    <t>89, 90, 91, 92</t>
  </si>
  <si>
    <t>BB-SO-15</t>
  </si>
  <si>
    <t>93, 94, 95, 96</t>
  </si>
  <si>
    <t>LB-HI-01</t>
  </si>
  <si>
    <t>LB</t>
  </si>
  <si>
    <t>241, 242, 243, 244</t>
  </si>
  <si>
    <t>LB-HO-01</t>
  </si>
  <si>
    <t>245, 246, 247, 248</t>
  </si>
  <si>
    <t>LB-SI-01</t>
  </si>
  <si>
    <t>249, 250, 251, 252</t>
  </si>
  <si>
    <t>LB-SO-01</t>
  </si>
  <si>
    <t>253, 254, 255, 256</t>
  </si>
  <si>
    <t>LB-HI-02</t>
  </si>
  <si>
    <t>257, 258, 259, 260</t>
  </si>
  <si>
    <t>LB-HO-02</t>
  </si>
  <si>
    <t>261, 262, 263, 264</t>
  </si>
  <si>
    <t>LB-SI-02</t>
  </si>
  <si>
    <t>265, 266, 267, 268</t>
  </si>
  <si>
    <t>LB-SO-02</t>
  </si>
  <si>
    <t>269, 270, 271, 272</t>
  </si>
  <si>
    <t>LB-HI-03</t>
  </si>
  <si>
    <t>273, 274, 275, 276</t>
  </si>
  <si>
    <t>LB-HO-03</t>
  </si>
  <si>
    <t>277, 278, 279, 280</t>
  </si>
  <si>
    <t>LB-SI-03</t>
  </si>
  <si>
    <t>281, 282, 283, 284</t>
  </si>
  <si>
    <t>LB-SO-03</t>
  </si>
  <si>
    <t>285, 286, 287, 288</t>
  </si>
  <si>
    <t>LB-HI-04</t>
  </si>
  <si>
    <t>385, 386, 387, 388</t>
  </si>
  <si>
    <t>LB-HO-04</t>
  </si>
  <si>
    <t>389, 390, 391, 392</t>
  </si>
  <si>
    <t>LB-SI-04</t>
  </si>
  <si>
    <t>393, 394, 395, 396</t>
  </si>
  <si>
    <t>LB-SO-04</t>
  </si>
  <si>
    <t>397, 398, 399, 400</t>
  </si>
  <si>
    <t>LB-HI-05</t>
  </si>
  <si>
    <t>401, 402, 403, 404</t>
  </si>
  <si>
    <t>LB-HO-05</t>
  </si>
  <si>
    <t>405, 406, 407, 408</t>
  </si>
  <si>
    <t>LB-SI-05</t>
  </si>
  <si>
    <t>409, 410, 411, 412</t>
  </si>
  <si>
    <t>LB-SO-05</t>
  </si>
  <si>
    <t>413, 414, 415, 416</t>
  </si>
  <si>
    <t>LB-HI-06</t>
  </si>
  <si>
    <t>417, 418, 419, 420</t>
  </si>
  <si>
    <t>LB-HO-06</t>
  </si>
  <si>
    <t>421, 422, 423, 424</t>
  </si>
  <si>
    <t>LB-SI-06</t>
  </si>
  <si>
    <t>425, 426, 427, 428</t>
  </si>
  <si>
    <t>LB-SO-06</t>
  </si>
  <si>
    <t>429, 430, 431, 432</t>
  </si>
  <si>
    <t>LB-HI-07</t>
  </si>
  <si>
    <t>529, 530, 431, 532</t>
  </si>
  <si>
    <t>LB-HO-07</t>
  </si>
  <si>
    <t>533, 534, 535, 536</t>
  </si>
  <si>
    <t>LB-SI-07</t>
  </si>
  <si>
    <t>537, 538, 539, 540</t>
  </si>
  <si>
    <t>LB-SO-07</t>
  </si>
  <si>
    <t>541, 542, 543, 544</t>
  </si>
  <si>
    <t>LB-HI-08</t>
  </si>
  <si>
    <t>545, 546, 547, 548</t>
  </si>
  <si>
    <t>LB-HO-08</t>
  </si>
  <si>
    <t>549, 550, 551, 552</t>
  </si>
  <si>
    <t>LB-SI-08</t>
  </si>
  <si>
    <t>553, 554, 555, 556</t>
  </si>
  <si>
    <t>LB-SO-08</t>
  </si>
  <si>
    <t>557, 557, 559, 560</t>
  </si>
  <si>
    <t>LB-HI-09</t>
  </si>
  <si>
    <t>561, 562, 563, 564</t>
  </si>
  <si>
    <t>LB-HO-09</t>
  </si>
  <si>
    <t>565, 566, 567, 568</t>
  </si>
  <si>
    <t>LB-SI-09</t>
  </si>
  <si>
    <t>569, 570, 571, 572</t>
  </si>
  <si>
    <t>LB-SO-09</t>
  </si>
  <si>
    <t>573, 574, 575, 576</t>
  </si>
  <si>
    <t>LB-HI-10</t>
  </si>
  <si>
    <t>673, 674, 675, 676</t>
  </si>
  <si>
    <t>LB-HO-10</t>
  </si>
  <si>
    <t>677, 678, 679, 680</t>
  </si>
  <si>
    <t>LB-SI-10</t>
  </si>
  <si>
    <t>681, 682, 683, 684</t>
  </si>
  <si>
    <t>LB-SO-10</t>
  </si>
  <si>
    <t>685, 686, 687, 688</t>
  </si>
  <si>
    <t>LB-HI-11</t>
  </si>
  <si>
    <t>689, 690, 691, 692</t>
  </si>
  <si>
    <t>LB-HO-11</t>
  </si>
  <si>
    <t>693, 694, 695, 696</t>
  </si>
  <si>
    <t>LB-SI-11</t>
  </si>
  <si>
    <t>697, 698, 699, 700</t>
  </si>
  <si>
    <t>LB-SO-11</t>
  </si>
  <si>
    <t>701, 702, 703, 704</t>
  </si>
  <si>
    <t>LB-HI-12</t>
  </si>
  <si>
    <t>705, 706, 707, 708</t>
  </si>
  <si>
    <t>LB-HO-12</t>
  </si>
  <si>
    <t>709, 710, 711, 712</t>
  </si>
  <si>
    <t>LB-SI-12</t>
  </si>
  <si>
    <t>713, 714, 715, 716</t>
  </si>
  <si>
    <t>LB-SO-12</t>
  </si>
  <si>
    <t>717, 718, 719, 720</t>
  </si>
  <si>
    <t>LB-HI-13</t>
  </si>
  <si>
    <t>97, 98, 99, 100</t>
  </si>
  <si>
    <t>LB-HO-13</t>
  </si>
  <si>
    <t>101, 102, 103, 104</t>
  </si>
  <si>
    <t>LB-SI-13</t>
  </si>
  <si>
    <t>105, 106, 107, 108</t>
  </si>
  <si>
    <t>LB-SO-13</t>
  </si>
  <si>
    <t>109, 110, 111, 112</t>
  </si>
  <si>
    <t>LB-HI-14</t>
  </si>
  <si>
    <t>113, 114, 115, 116</t>
  </si>
  <si>
    <t>LB-HO-14</t>
  </si>
  <si>
    <t>117, 118, 119, 120</t>
  </si>
  <si>
    <t>LB-SI-14</t>
  </si>
  <si>
    <t>121, 122, 123, 124</t>
  </si>
  <si>
    <t>LB-SO-14</t>
  </si>
  <si>
    <t>125, 126, 127, 128</t>
  </si>
  <si>
    <t>LB-HI-15</t>
  </si>
  <si>
    <t>129, 130, 131, 132</t>
  </si>
  <si>
    <t>LB-HO-15</t>
  </si>
  <si>
    <t>133, 134, 135, 136</t>
  </si>
  <si>
    <t>LB-SI-15</t>
  </si>
  <si>
    <t>137, 138, 139, 140</t>
  </si>
  <si>
    <t>LB-SO-15</t>
  </si>
  <si>
    <t>141, 142, 143, 144</t>
  </si>
  <si>
    <t>site-treatment-quadrat</t>
  </si>
  <si>
    <t>BB- Brewers Bay</t>
  </si>
  <si>
    <t>HI - Halophila inside</t>
  </si>
  <si>
    <t>1-15</t>
  </si>
  <si>
    <t>1-5</t>
  </si>
  <si>
    <t>1-720</t>
  </si>
  <si>
    <t>from sedimentdata.xlsx</t>
  </si>
  <si>
    <t>g cm^3</t>
  </si>
  <si>
    <t>%</t>
  </si>
  <si>
    <t>g C/cm^3</t>
  </si>
  <si>
    <t>mg C/cm^3</t>
  </si>
  <si>
    <t>PHI</t>
  </si>
  <si>
    <t>FB - Fortuna Bay</t>
  </si>
  <si>
    <t>HO - Halophila outside</t>
  </si>
  <si>
    <t>average of all DBD</t>
  </si>
  <si>
    <t>total of both SCD</t>
  </si>
  <si>
    <t>retrieved from GSSTAT</t>
  </si>
  <si>
    <t>LB - Lidbergh Bay</t>
  </si>
  <si>
    <t>SI - sand inside</t>
  </si>
  <si>
    <t>SO - sand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</si>
</sst>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imesNewRomanPSMT"/>
      <family val="2"/>
    </font>
    <font>
      <sz val="12"/>
      <color rgb="FF000000"/>
      <name val="TimesNewRomanPSMT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4D05-27D1-B742-908C-2B53A12F0A39}">
  <dimension ref="A1:T361"/>
  <sheetViews>
    <sheetView tabSelected="1" workbookViewId="0">
      <pane ySplit="1" topLeftCell="A2" activePane="bottomLeft" state="frozen"/>
      <selection pane="bottomLeft" activeCell="U1" sqref="U1:U1048576"/>
    </sheetView>
  </sheetViews>
  <sheetFormatPr defaultColWidth="8.88671875" defaultRowHeight="15" customHeight="1"/>
  <cols>
    <col min="1" max="1" width="10.88671875" customWidth="1"/>
    <col min="2" max="2" width="5.109375" customWidth="1"/>
    <col min="3" max="3" width="8.88671875" customWidth="1"/>
    <col min="4" max="4" width="9.21875" customWidth="1"/>
    <col min="5" max="5" width="5.44140625" customWidth="1"/>
    <col min="6" max="6" width="14.77734375" customWidth="1"/>
    <col min="7" max="7" width="11.6640625" customWidth="1"/>
    <col min="8" max="8" width="11.21875" customWidth="1"/>
    <col min="9" max="20" width="8.88671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1</v>
      </c>
      <c r="E2" s="1">
        <v>2</v>
      </c>
      <c r="F2" s="1" t="s">
        <v>23</v>
      </c>
      <c r="G2">
        <v>1.7431031969647712</v>
      </c>
      <c r="H2">
        <v>1.529315397255133</v>
      </c>
      <c r="I2">
        <v>1.4401576880755171</v>
      </c>
      <c r="J2">
        <v>1.4546178228158926</v>
      </c>
      <c r="K2">
        <f>AVERAGE(G2:J2)</f>
        <v>1.5417985262778284</v>
      </c>
      <c r="L2">
        <v>2.4799783031811664</v>
      </c>
      <c r="M2">
        <v>0.36199132127246658</v>
      </c>
      <c r="N2">
        <v>6.3098822938353807E-3</v>
      </c>
      <c r="O2">
        <v>2.5661566747652422</v>
      </c>
      <c r="P2">
        <v>0.39646266990609702</v>
      </c>
      <c r="Q2">
        <v>5.7096876210021158E-3</v>
      </c>
      <c r="R2">
        <f>(N2+Q2)*1000</f>
        <v>12.019569914837497</v>
      </c>
    </row>
    <row r="3" spans="1:20">
      <c r="A3" t="s">
        <v>24</v>
      </c>
      <c r="B3" t="s">
        <v>21</v>
      </c>
      <c r="C3" t="s">
        <v>25</v>
      </c>
      <c r="D3">
        <v>1</v>
      </c>
      <c r="E3" s="1">
        <v>2</v>
      </c>
      <c r="F3" s="1" t="s">
        <v>26</v>
      </c>
      <c r="G3">
        <v>1.3445265973424363</v>
      </c>
      <c r="H3">
        <v>1.6659037480332455</v>
      </c>
      <c r="I3">
        <v>1.6219162455961595</v>
      </c>
      <c r="J3">
        <v>1.4502684102369969</v>
      </c>
      <c r="K3">
        <f t="shared" ref="K3:K66" si="0">AVERAGE(G3:J3)</f>
        <v>1.5206537503022095</v>
      </c>
      <c r="L3">
        <v>2.5647116224128061</v>
      </c>
      <c r="M3">
        <v>0.39588464896512254</v>
      </c>
      <c r="N3">
        <v>5.3227744001318102E-3</v>
      </c>
      <c r="O3">
        <v>2.4027799267625976</v>
      </c>
      <c r="P3">
        <v>0.33111197070503906</v>
      </c>
      <c r="Q3">
        <v>5.3703588439786253E-3</v>
      </c>
      <c r="R3">
        <f t="shared" ref="R3:R66" si="1">(N3+Q3)*1000</f>
        <v>10.693133244110436</v>
      </c>
    </row>
    <row r="4" spans="1:20">
      <c r="A4" t="s">
        <v>27</v>
      </c>
      <c r="B4" t="s">
        <v>21</v>
      </c>
      <c r="C4" t="s">
        <v>28</v>
      </c>
      <c r="D4">
        <v>1</v>
      </c>
      <c r="E4" s="1">
        <v>2</v>
      </c>
      <c r="F4" s="1" t="s">
        <v>29</v>
      </c>
      <c r="G4">
        <v>1.6019029992204605</v>
      </c>
      <c r="H4">
        <v>1.6215995747688146</v>
      </c>
      <c r="I4">
        <v>1.469615073268947</v>
      </c>
      <c r="J4">
        <v>1.5781491880444078</v>
      </c>
      <c r="K4">
        <f t="shared" si="0"/>
        <v>1.5678167088256574</v>
      </c>
      <c r="L4">
        <v>2.4977376710985011</v>
      </c>
      <c r="M4">
        <v>0.36909506843940043</v>
      </c>
      <c r="N4">
        <v>5.9125449713055668E-3</v>
      </c>
      <c r="O4">
        <v>2.6858619033401054</v>
      </c>
      <c r="P4">
        <v>0.44434476133604217</v>
      </c>
      <c r="Q4">
        <v>6.5301575898754046E-3</v>
      </c>
      <c r="R4">
        <f t="shared" si="1"/>
        <v>12.442702561180971</v>
      </c>
    </row>
    <row r="5" spans="1:20">
      <c r="A5" t="s">
        <v>30</v>
      </c>
      <c r="B5" t="s">
        <v>21</v>
      </c>
      <c r="C5" t="s">
        <v>31</v>
      </c>
      <c r="D5">
        <v>1</v>
      </c>
      <c r="E5" s="1">
        <v>2</v>
      </c>
      <c r="F5" s="1" t="s">
        <v>32</v>
      </c>
      <c r="G5">
        <v>1.4285948289709629</v>
      </c>
      <c r="H5">
        <v>1.5744401153705305</v>
      </c>
      <c r="I5">
        <v>1.5626883035071184</v>
      </c>
      <c r="J5">
        <v>1.4241824321391146</v>
      </c>
      <c r="K5">
        <f t="shared" si="0"/>
        <v>1.4974764199969317</v>
      </c>
      <c r="L5">
        <v>2.3757473595491243</v>
      </c>
      <c r="M5">
        <v>0.32029894381964974</v>
      </c>
      <c r="N5">
        <v>4.5757741486561259E-3</v>
      </c>
      <c r="O5">
        <v>2.6438671489641283</v>
      </c>
      <c r="P5">
        <v>0.42754685958565142</v>
      </c>
      <c r="Q5">
        <v>6.6812247667569786E-3</v>
      </c>
      <c r="R5">
        <f t="shared" si="1"/>
        <v>11.256998915413103</v>
      </c>
    </row>
    <row r="6" spans="1:20">
      <c r="A6" t="s">
        <v>33</v>
      </c>
      <c r="B6" t="s">
        <v>21</v>
      </c>
      <c r="C6" t="s">
        <v>22</v>
      </c>
      <c r="D6">
        <v>2</v>
      </c>
      <c r="E6" s="1">
        <v>2</v>
      </c>
      <c r="F6" s="1" t="s">
        <v>34</v>
      </c>
      <c r="G6">
        <v>1.5559122476269642</v>
      </c>
      <c r="H6">
        <v>1.4903718837420037</v>
      </c>
      <c r="I6">
        <v>1.61836988224241</v>
      </c>
      <c r="J6">
        <v>1.7715983227380916</v>
      </c>
      <c r="K6">
        <f t="shared" si="0"/>
        <v>1.6090630840873674</v>
      </c>
      <c r="L6">
        <v>4.5823456662887718</v>
      </c>
      <c r="M6">
        <v>1.2029382665155088</v>
      </c>
      <c r="N6">
        <v>1.8716663820106297E-2</v>
      </c>
      <c r="O6">
        <v>2.3263037544692149</v>
      </c>
      <c r="P6">
        <v>0.300521501787686</v>
      </c>
      <c r="Q6">
        <v>4.8635494745944956E-3</v>
      </c>
      <c r="R6">
        <f t="shared" si="1"/>
        <v>23.580213294700794</v>
      </c>
    </row>
    <row r="7" spans="1:20">
      <c r="A7" t="s">
        <v>35</v>
      </c>
      <c r="B7" t="s">
        <v>21</v>
      </c>
      <c r="C7" t="s">
        <v>25</v>
      </c>
      <c r="D7">
        <v>2</v>
      </c>
      <c r="E7" s="1">
        <v>2</v>
      </c>
      <c r="F7" s="1" t="s">
        <v>36</v>
      </c>
      <c r="G7">
        <v>1.2107235501948959</v>
      </c>
      <c r="H7">
        <v>1.1203463958956135</v>
      </c>
      <c r="I7">
        <v>1.1698310239653988</v>
      </c>
      <c r="J7">
        <v>1.09529965797145</v>
      </c>
      <c r="K7">
        <f t="shared" si="0"/>
        <v>1.1490501570068394</v>
      </c>
      <c r="L7">
        <v>3.8012147416100572</v>
      </c>
      <c r="M7">
        <v>0.89048589664402289</v>
      </c>
      <c r="N7">
        <v>1.0781322461833364E-2</v>
      </c>
      <c r="O7">
        <v>3.0658090681537256</v>
      </c>
      <c r="P7">
        <v>0.59632362726149035</v>
      </c>
      <c r="Q7">
        <v>6.9759787949407008E-3</v>
      </c>
      <c r="R7">
        <f t="shared" si="1"/>
        <v>17.757301256774063</v>
      </c>
    </row>
    <row r="8" spans="1:20">
      <c r="A8" t="s">
        <v>37</v>
      </c>
      <c r="B8" t="s">
        <v>21</v>
      </c>
      <c r="C8" t="s">
        <v>28</v>
      </c>
      <c r="D8">
        <v>2</v>
      </c>
      <c r="E8" s="1">
        <v>2</v>
      </c>
      <c r="F8" s="1" t="s">
        <v>38</v>
      </c>
      <c r="G8">
        <v>1.4354041265401754</v>
      </c>
      <c r="H8">
        <v>1.5390972016511932</v>
      </c>
      <c r="I8">
        <v>1.490118197167611</v>
      </c>
      <c r="J8">
        <v>1.4760062253810573</v>
      </c>
      <c r="K8">
        <f t="shared" si="0"/>
        <v>1.485156437685009</v>
      </c>
      <c r="L8">
        <v>2.692813446915566</v>
      </c>
      <c r="M8">
        <v>0.44712537876622649</v>
      </c>
      <c r="N8">
        <v>6.4180561376188045E-3</v>
      </c>
      <c r="O8">
        <v>2.5083102844528264</v>
      </c>
      <c r="P8">
        <v>0.37332411378113062</v>
      </c>
      <c r="Q8">
        <v>5.5629705538673439E-3</v>
      </c>
      <c r="R8">
        <f t="shared" si="1"/>
        <v>11.981026691486148</v>
      </c>
    </row>
    <row r="9" spans="1:20">
      <c r="A9" t="s">
        <v>39</v>
      </c>
      <c r="B9" t="s">
        <v>21</v>
      </c>
      <c r="C9" t="s">
        <v>31</v>
      </c>
      <c r="D9">
        <v>2</v>
      </c>
      <c r="E9" s="1">
        <v>2</v>
      </c>
      <c r="F9" s="1" t="s">
        <v>40</v>
      </c>
      <c r="G9">
        <v>1.1631529435898376</v>
      </c>
      <c r="H9">
        <v>1.2082076792019545</v>
      </c>
      <c r="I9">
        <v>1.4661456906688062</v>
      </c>
      <c r="J9">
        <v>1.4035323449835613</v>
      </c>
      <c r="K9">
        <f t="shared" si="0"/>
        <v>1.3102596646110398</v>
      </c>
      <c r="L9">
        <v>2.8599630807096661</v>
      </c>
      <c r="M9">
        <v>0.51398523228386639</v>
      </c>
      <c r="N9">
        <v>5.9784343589268565E-3</v>
      </c>
      <c r="O9">
        <v>2.8888677991838274</v>
      </c>
      <c r="P9">
        <v>0.52554711967353096</v>
      </c>
      <c r="Q9">
        <v>7.7052864475275077E-3</v>
      </c>
      <c r="R9">
        <f t="shared" si="1"/>
        <v>13.683720806454366</v>
      </c>
    </row>
    <row r="10" spans="1:20">
      <c r="A10" t="s">
        <v>41</v>
      </c>
      <c r="B10" t="s">
        <v>21</v>
      </c>
      <c r="C10" t="s">
        <v>22</v>
      </c>
      <c r="D10">
        <v>3</v>
      </c>
      <c r="E10" s="1">
        <v>2</v>
      </c>
      <c r="F10" s="1" t="s">
        <v>42</v>
      </c>
      <c r="G10">
        <v>1.3556100762995176</v>
      </c>
      <c r="H10">
        <v>1.3902549145486298</v>
      </c>
      <c r="I10">
        <v>1.423818523122055</v>
      </c>
      <c r="J10">
        <v>1.4463388926777856</v>
      </c>
      <c r="K10">
        <f t="shared" si="0"/>
        <v>1.4040056016619971</v>
      </c>
      <c r="L10">
        <v>2.8979741335758304</v>
      </c>
      <c r="M10">
        <v>0.52918965343033231</v>
      </c>
      <c r="N10">
        <v>7.1737482646360802E-3</v>
      </c>
      <c r="O10">
        <v>2.7984343164917349</v>
      </c>
      <c r="P10">
        <v>0.48937372659669409</v>
      </c>
      <c r="Q10">
        <v>6.9677937665764134E-3</v>
      </c>
      <c r="R10">
        <f t="shared" si="1"/>
        <v>14.141542031212495</v>
      </c>
    </row>
    <row r="11" spans="1:20">
      <c r="A11" t="s">
        <v>43</v>
      </c>
      <c r="B11" t="s">
        <v>21</v>
      </c>
      <c r="C11" t="s">
        <v>25</v>
      </c>
      <c r="D11">
        <v>3</v>
      </c>
      <c r="E11" s="1">
        <v>2</v>
      </c>
      <c r="F11" s="1" t="s">
        <v>44</v>
      </c>
      <c r="G11">
        <v>1.2591619398406342</v>
      </c>
      <c r="H11">
        <v>1.4129817324890381</v>
      </c>
      <c r="I11">
        <v>1.365509101388573</v>
      </c>
      <c r="J11">
        <v>1.4869689845199794</v>
      </c>
      <c r="K11">
        <f t="shared" si="0"/>
        <v>1.381155439559556</v>
      </c>
      <c r="L11">
        <v>3.3918251000287585</v>
      </c>
      <c r="M11">
        <v>0.72673004001150343</v>
      </c>
      <c r="N11">
        <v>9.1507080692134635E-3</v>
      </c>
      <c r="O11">
        <v>3.024903019113105</v>
      </c>
      <c r="P11">
        <v>0.57996120764524217</v>
      </c>
      <c r="Q11">
        <v>7.9194230749188611E-3</v>
      </c>
      <c r="R11">
        <f t="shared" si="1"/>
        <v>17.070131144132326</v>
      </c>
    </row>
    <row r="12" spans="1:20">
      <c r="A12" t="s">
        <v>45</v>
      </c>
      <c r="B12" t="s">
        <v>21</v>
      </c>
      <c r="C12" t="s">
        <v>28</v>
      </c>
      <c r="D12">
        <v>3</v>
      </c>
      <c r="E12" s="1">
        <v>2</v>
      </c>
      <c r="F12" s="1" t="s">
        <v>46</v>
      </c>
      <c r="G12">
        <v>1.3229177498919371</v>
      </c>
      <c r="H12">
        <v>1.3344928559345652</v>
      </c>
      <c r="I12">
        <v>1.4327237966645245</v>
      </c>
      <c r="J12">
        <v>1.280643069222646</v>
      </c>
      <c r="K12">
        <f t="shared" si="0"/>
        <v>1.3426943679284182</v>
      </c>
      <c r="L12">
        <v>2.8979360158681917</v>
      </c>
      <c r="M12">
        <v>0.52917440634727664</v>
      </c>
      <c r="N12">
        <v>7.0005421494534082E-3</v>
      </c>
      <c r="O12">
        <v>2.7143540428959727</v>
      </c>
      <c r="P12">
        <v>0.45574161715838912</v>
      </c>
      <c r="Q12">
        <v>6.5295186003319749E-3</v>
      </c>
      <c r="R12">
        <f t="shared" si="1"/>
        <v>13.530060749785383</v>
      </c>
    </row>
    <row r="13" spans="1:20">
      <c r="A13" t="s">
        <v>47</v>
      </c>
      <c r="B13" t="s">
        <v>21</v>
      </c>
      <c r="C13" t="s">
        <v>31</v>
      </c>
      <c r="D13">
        <v>3</v>
      </c>
      <c r="E13" s="1">
        <v>2</v>
      </c>
      <c r="F13" s="1" t="s">
        <v>48</v>
      </c>
      <c r="G13">
        <v>1.3873471415373166</v>
      </c>
      <c r="H13">
        <v>1.3500797089777599</v>
      </c>
      <c r="I13">
        <v>1.4883738832733397</v>
      </c>
      <c r="J13">
        <v>1.5238952523760423</v>
      </c>
      <c r="K13">
        <f t="shared" si="0"/>
        <v>1.4374239965411146</v>
      </c>
      <c r="L13">
        <v>2.7208679257764854</v>
      </c>
      <c r="M13">
        <v>0.45834717031059424</v>
      </c>
      <c r="N13">
        <v>6.3588663656212064E-3</v>
      </c>
      <c r="O13">
        <v>2.5935621795651409</v>
      </c>
      <c r="P13">
        <v>0.40742487182605636</v>
      </c>
      <c r="Q13">
        <v>6.0640053862189023E-3</v>
      </c>
      <c r="R13">
        <f t="shared" si="1"/>
        <v>12.422871751840109</v>
      </c>
    </row>
    <row r="14" spans="1:20" s="7" customFormat="1">
      <c r="A14" s="7" t="s">
        <v>49</v>
      </c>
      <c r="B14" s="7" t="s">
        <v>21</v>
      </c>
      <c r="C14" s="7" t="s">
        <v>22</v>
      </c>
      <c r="D14" s="7">
        <v>4</v>
      </c>
      <c r="E14" s="8">
        <v>3</v>
      </c>
      <c r="F14" s="8" t="s">
        <v>50</v>
      </c>
      <c r="G14">
        <v>1.4809504892378391</v>
      </c>
      <c r="H14">
        <v>1.5953333917249846</v>
      </c>
      <c r="I14">
        <v>1.4404918545286827</v>
      </c>
      <c r="J14">
        <v>1.5974101225098392</v>
      </c>
      <c r="K14" s="7">
        <f t="shared" si="0"/>
        <v>1.5285464645003364</v>
      </c>
      <c r="R14" s="7">
        <f t="shared" si="1"/>
        <v>0</v>
      </c>
    </row>
    <row r="15" spans="1:20" s="7" customFormat="1">
      <c r="A15" s="7" t="s">
        <v>51</v>
      </c>
      <c r="B15" s="7" t="s">
        <v>21</v>
      </c>
      <c r="C15" s="7" t="s">
        <v>25</v>
      </c>
      <c r="D15" s="7">
        <v>4</v>
      </c>
      <c r="E15" s="8">
        <v>3</v>
      </c>
      <c r="F15" s="8" t="s">
        <v>52</v>
      </c>
      <c r="G15">
        <v>1.4898155228409224</v>
      </c>
      <c r="H15">
        <v>1.3333731358820744</v>
      </c>
      <c r="I15">
        <v>1.480033718444862</v>
      </c>
      <c r="J15">
        <v>1.4187272960083839</v>
      </c>
      <c r="K15" s="7">
        <f t="shared" si="0"/>
        <v>1.4304874182940608</v>
      </c>
      <c r="R15" s="7">
        <f t="shared" si="1"/>
        <v>0</v>
      </c>
    </row>
    <row r="16" spans="1:20" s="7" customFormat="1">
      <c r="A16" s="7" t="s">
        <v>53</v>
      </c>
      <c r="B16" s="7" t="s">
        <v>21</v>
      </c>
      <c r="C16" s="7" t="s">
        <v>28</v>
      </c>
      <c r="D16" s="7">
        <v>4</v>
      </c>
      <c r="E16" s="8">
        <v>3</v>
      </c>
      <c r="F16" s="8" t="s">
        <v>54</v>
      </c>
      <c r="G16">
        <v>1.5079619859416085</v>
      </c>
      <c r="H16">
        <v>1.6184678577470031</v>
      </c>
      <c r="I16">
        <v>1.3855048521384519</v>
      </c>
      <c r="J16">
        <v>1.5116693090529036</v>
      </c>
      <c r="K16" s="7">
        <f t="shared" si="0"/>
        <v>1.5059010012199918</v>
      </c>
      <c r="R16" s="7">
        <f t="shared" si="1"/>
        <v>0</v>
      </c>
    </row>
    <row r="17" spans="1:18" s="7" customFormat="1">
      <c r="A17" s="7" t="s">
        <v>55</v>
      </c>
      <c r="B17" s="7" t="s">
        <v>21</v>
      </c>
      <c r="C17" s="7" t="s">
        <v>31</v>
      </c>
      <c r="D17" s="7">
        <v>4</v>
      </c>
      <c r="E17" s="8">
        <v>3</v>
      </c>
      <c r="F17" s="8" t="s">
        <v>56</v>
      </c>
      <c r="G17">
        <v>1.5253876292585036</v>
      </c>
      <c r="H17">
        <v>1.6505443381257132</v>
      </c>
      <c r="I17">
        <v>1.5356383164265446</v>
      </c>
      <c r="J17">
        <v>1.4711966778430909</v>
      </c>
      <c r="K17" s="7">
        <f t="shared" si="0"/>
        <v>1.5456917404134631</v>
      </c>
      <c r="R17" s="7">
        <f t="shared" si="1"/>
        <v>0</v>
      </c>
    </row>
    <row r="18" spans="1:18" s="7" customFormat="1">
      <c r="A18" s="7" t="s">
        <v>57</v>
      </c>
      <c r="B18" s="7" t="s">
        <v>21</v>
      </c>
      <c r="C18" s="7" t="s">
        <v>22</v>
      </c>
      <c r="D18" s="7">
        <v>5</v>
      </c>
      <c r="E18" s="8">
        <v>3</v>
      </c>
      <c r="F18" s="8" t="s">
        <v>58</v>
      </c>
      <c r="G18">
        <v>1.4436953036163567</v>
      </c>
      <c r="H18">
        <v>1.5566278187230094</v>
      </c>
      <c r="I18">
        <v>1.3996623125521381</v>
      </c>
      <c r="J18">
        <v>1.4568975028602613</v>
      </c>
      <c r="K18" s="7">
        <f t="shared" si="0"/>
        <v>1.4642207344379414</v>
      </c>
      <c r="R18" s="7">
        <f t="shared" si="1"/>
        <v>0</v>
      </c>
    </row>
    <row r="19" spans="1:18" s="7" customFormat="1">
      <c r="A19" s="7" t="s">
        <v>59</v>
      </c>
      <c r="B19" s="7" t="s">
        <v>21</v>
      </c>
      <c r="C19" s="7" t="s">
        <v>25</v>
      </c>
      <c r="D19" s="7">
        <v>5</v>
      </c>
      <c r="E19" s="8">
        <v>3</v>
      </c>
      <c r="F19" s="8" t="s">
        <v>60</v>
      </c>
      <c r="G19">
        <v>1.4412809072531723</v>
      </c>
      <c r="H19">
        <v>1.54931814625534</v>
      </c>
      <c r="I19">
        <v>1.5082804063315358</v>
      </c>
      <c r="J19">
        <v>1.4700069752873191</v>
      </c>
      <c r="K19" s="7">
        <f t="shared" si="0"/>
        <v>1.4922216087818418</v>
      </c>
      <c r="R19" s="7">
        <f t="shared" si="1"/>
        <v>0</v>
      </c>
    </row>
    <row r="20" spans="1:18" s="7" customFormat="1">
      <c r="A20" s="7" t="s">
        <v>61</v>
      </c>
      <c r="B20" s="7" t="s">
        <v>21</v>
      </c>
      <c r="C20" s="7" t="s">
        <v>28</v>
      </c>
      <c r="D20" s="7">
        <v>5</v>
      </c>
      <c r="E20" s="8">
        <v>3</v>
      </c>
      <c r="F20" s="8" t="s">
        <v>62</v>
      </c>
      <c r="G20">
        <v>1.4931851803738883</v>
      </c>
      <c r="H20">
        <v>1.5320884539476309</v>
      </c>
      <c r="I20">
        <v>1.4331191978080604</v>
      </c>
      <c r="J20">
        <v>1.326793031011106</v>
      </c>
      <c r="K20" s="7">
        <f t="shared" si="0"/>
        <v>1.4462964657851713</v>
      </c>
      <c r="R20" s="7">
        <f t="shared" si="1"/>
        <v>0</v>
      </c>
    </row>
    <row r="21" spans="1:18" s="7" customFormat="1">
      <c r="A21" s="7" t="s">
        <v>63</v>
      </c>
      <c r="B21" s="7" t="s">
        <v>21</v>
      </c>
      <c r="C21" s="7" t="s">
        <v>31</v>
      </c>
      <c r="D21" s="7">
        <v>5</v>
      </c>
      <c r="E21" s="8">
        <v>3</v>
      </c>
      <c r="F21" s="8" t="s">
        <v>64</v>
      </c>
      <c r="G21">
        <v>1.4121734345761461</v>
      </c>
      <c r="H21">
        <v>1.5179012509700505</v>
      </c>
      <c r="I21">
        <v>1.469284405940946</v>
      </c>
      <c r="J21">
        <v>1.3942701606743599</v>
      </c>
      <c r="K21" s="7">
        <f t="shared" si="0"/>
        <v>1.4484073130403756</v>
      </c>
      <c r="R21" s="7">
        <f t="shared" si="1"/>
        <v>0</v>
      </c>
    </row>
    <row r="22" spans="1:18" s="7" customFormat="1">
      <c r="A22" s="7" t="s">
        <v>65</v>
      </c>
      <c r="B22" s="7" t="s">
        <v>21</v>
      </c>
      <c r="C22" s="7" t="s">
        <v>22</v>
      </c>
      <c r="D22" s="7">
        <v>6</v>
      </c>
      <c r="E22" s="8">
        <v>3</v>
      </c>
      <c r="F22" s="8" t="s">
        <v>66</v>
      </c>
      <c r="G22">
        <v>1.4896895543350168</v>
      </c>
      <c r="H22">
        <v>1.4520687101338929</v>
      </c>
      <c r="I22">
        <v>1.6940209682888501</v>
      </c>
      <c r="J22">
        <v>1.6171539362479077</v>
      </c>
      <c r="K22" s="7">
        <f t="shared" si="0"/>
        <v>1.5632332922514169</v>
      </c>
      <c r="R22" s="7">
        <f t="shared" si="1"/>
        <v>0</v>
      </c>
    </row>
    <row r="23" spans="1:18" s="7" customFormat="1">
      <c r="A23" s="7" t="s">
        <v>67</v>
      </c>
      <c r="B23" s="7" t="s">
        <v>21</v>
      </c>
      <c r="C23" s="7" t="s">
        <v>25</v>
      </c>
      <c r="D23" s="7">
        <v>6</v>
      </c>
      <c r="E23" s="8">
        <v>3</v>
      </c>
      <c r="F23" s="8" t="s">
        <v>68</v>
      </c>
      <c r="G23">
        <v>1.4466853060690248</v>
      </c>
      <c r="H23">
        <v>1.5975833292054591</v>
      </c>
      <c r="I23">
        <v>1.3605893314079396</v>
      </c>
      <c r="J23">
        <v>1.5123971270870231</v>
      </c>
      <c r="K23" s="7">
        <f t="shared" si="0"/>
        <v>1.4793137734423616</v>
      </c>
      <c r="R23" s="7">
        <f t="shared" si="1"/>
        <v>0</v>
      </c>
    </row>
    <row r="24" spans="1:18" s="7" customFormat="1">
      <c r="A24" s="7" t="s">
        <v>69</v>
      </c>
      <c r="B24" s="7" t="s">
        <v>21</v>
      </c>
      <c r="C24" s="7" t="s">
        <v>28</v>
      </c>
      <c r="D24" s="7">
        <v>6</v>
      </c>
      <c r="E24" s="8">
        <v>3</v>
      </c>
      <c r="F24" s="8" t="s">
        <v>70</v>
      </c>
      <c r="G24">
        <v>1.4283901301488671</v>
      </c>
      <c r="H24">
        <v>1.5073163973488439</v>
      </c>
      <c r="I24">
        <v>1.4282641616429619</v>
      </c>
      <c r="J24">
        <v>1.354945242518351</v>
      </c>
      <c r="K24" s="7">
        <f t="shared" si="0"/>
        <v>1.4297289829147559</v>
      </c>
      <c r="R24" s="7">
        <f t="shared" si="1"/>
        <v>0</v>
      </c>
    </row>
    <row r="25" spans="1:18" s="7" customFormat="1">
      <c r="A25" s="7" t="s">
        <v>71</v>
      </c>
      <c r="B25" s="7" t="s">
        <v>21</v>
      </c>
      <c r="C25" s="7" t="s">
        <v>31</v>
      </c>
      <c r="D25" s="7">
        <v>6</v>
      </c>
      <c r="E25" s="8">
        <v>3</v>
      </c>
      <c r="F25" s="8" t="s">
        <v>72</v>
      </c>
      <c r="G25">
        <v>1.4478190226221721</v>
      </c>
      <c r="H25">
        <v>1.3677327954303176</v>
      </c>
      <c r="I25">
        <v>1.3674546149797764</v>
      </c>
      <c r="J25">
        <v>1.4737038010231225</v>
      </c>
      <c r="K25" s="7">
        <f t="shared" si="0"/>
        <v>1.4141775585138472</v>
      </c>
      <c r="R25" s="7">
        <f t="shared" si="1"/>
        <v>0</v>
      </c>
    </row>
    <row r="26" spans="1:18">
      <c r="A26" t="s">
        <v>73</v>
      </c>
      <c r="B26" t="s">
        <v>21</v>
      </c>
      <c r="C26" t="s">
        <v>22</v>
      </c>
      <c r="D26">
        <v>7</v>
      </c>
      <c r="E26" s="1">
        <v>4</v>
      </c>
      <c r="F26" s="1" t="s">
        <v>74</v>
      </c>
      <c r="K26" t="e">
        <f t="shared" si="0"/>
        <v>#DIV/0!</v>
      </c>
      <c r="R26">
        <f t="shared" si="1"/>
        <v>0</v>
      </c>
    </row>
    <row r="27" spans="1:18">
      <c r="A27" t="s">
        <v>75</v>
      </c>
      <c r="B27" t="s">
        <v>21</v>
      </c>
      <c r="C27" t="s">
        <v>25</v>
      </c>
      <c r="D27">
        <v>7</v>
      </c>
      <c r="E27" s="1">
        <v>4</v>
      </c>
      <c r="F27" s="1" t="s">
        <v>76</v>
      </c>
      <c r="K27" t="e">
        <f t="shared" si="0"/>
        <v>#DIV/0!</v>
      </c>
      <c r="R27">
        <f t="shared" si="1"/>
        <v>0</v>
      </c>
    </row>
    <row r="28" spans="1:18">
      <c r="A28" t="s">
        <v>77</v>
      </c>
      <c r="B28" t="s">
        <v>21</v>
      </c>
      <c r="C28" t="s">
        <v>28</v>
      </c>
      <c r="D28">
        <v>7</v>
      </c>
      <c r="E28" s="1">
        <v>4</v>
      </c>
      <c r="F28" s="1" t="s">
        <v>78</v>
      </c>
      <c r="K28" t="e">
        <f t="shared" si="0"/>
        <v>#DIV/0!</v>
      </c>
      <c r="R28">
        <f t="shared" si="1"/>
        <v>0</v>
      </c>
    </row>
    <row r="29" spans="1:18">
      <c r="A29" t="s">
        <v>79</v>
      </c>
      <c r="B29" t="s">
        <v>21</v>
      </c>
      <c r="C29" t="s">
        <v>31</v>
      </c>
      <c r="D29">
        <v>7</v>
      </c>
      <c r="E29" s="1">
        <v>4</v>
      </c>
      <c r="F29" s="1" t="s">
        <v>80</v>
      </c>
      <c r="K29" t="e">
        <f t="shared" si="0"/>
        <v>#DIV/0!</v>
      </c>
      <c r="R29">
        <f t="shared" si="1"/>
        <v>0</v>
      </c>
    </row>
    <row r="30" spans="1:18">
      <c r="A30" t="s">
        <v>81</v>
      </c>
      <c r="B30" t="s">
        <v>21</v>
      </c>
      <c r="C30" t="s">
        <v>22</v>
      </c>
      <c r="D30">
        <v>8</v>
      </c>
      <c r="E30" s="1">
        <v>4</v>
      </c>
      <c r="F30" s="1" t="s">
        <v>82</v>
      </c>
      <c r="K30" t="e">
        <f t="shared" si="0"/>
        <v>#DIV/0!</v>
      </c>
      <c r="R30">
        <f t="shared" si="1"/>
        <v>0</v>
      </c>
    </row>
    <row r="31" spans="1:18">
      <c r="A31" t="s">
        <v>83</v>
      </c>
      <c r="B31" t="s">
        <v>21</v>
      </c>
      <c r="C31" t="s">
        <v>25</v>
      </c>
      <c r="D31">
        <v>8</v>
      </c>
      <c r="E31" s="1">
        <v>4</v>
      </c>
      <c r="F31" s="1" t="s">
        <v>84</v>
      </c>
      <c r="K31" t="e">
        <f t="shared" si="0"/>
        <v>#DIV/0!</v>
      </c>
      <c r="R31">
        <f t="shared" si="1"/>
        <v>0</v>
      </c>
    </row>
    <row r="32" spans="1:18">
      <c r="A32" t="s">
        <v>85</v>
      </c>
      <c r="B32" t="s">
        <v>21</v>
      </c>
      <c r="C32" t="s">
        <v>28</v>
      </c>
      <c r="D32">
        <v>8</v>
      </c>
      <c r="E32" s="1">
        <v>4</v>
      </c>
      <c r="F32" s="1" t="s">
        <v>86</v>
      </c>
      <c r="K32" t="e">
        <f t="shared" si="0"/>
        <v>#DIV/0!</v>
      </c>
      <c r="R32">
        <f t="shared" si="1"/>
        <v>0</v>
      </c>
    </row>
    <row r="33" spans="1:18">
      <c r="A33" t="s">
        <v>87</v>
      </c>
      <c r="B33" t="s">
        <v>21</v>
      </c>
      <c r="C33" t="s">
        <v>31</v>
      </c>
      <c r="D33">
        <v>8</v>
      </c>
      <c r="E33" s="1">
        <v>4</v>
      </c>
      <c r="F33" s="1" t="s">
        <v>88</v>
      </c>
      <c r="K33" t="e">
        <f t="shared" si="0"/>
        <v>#DIV/0!</v>
      </c>
      <c r="R33">
        <f t="shared" si="1"/>
        <v>0</v>
      </c>
    </row>
    <row r="34" spans="1:18">
      <c r="A34" t="s">
        <v>89</v>
      </c>
      <c r="B34" t="s">
        <v>21</v>
      </c>
      <c r="C34" t="s">
        <v>22</v>
      </c>
      <c r="D34">
        <v>9</v>
      </c>
      <c r="E34" s="1">
        <v>4</v>
      </c>
      <c r="F34" s="1" t="s">
        <v>90</v>
      </c>
      <c r="K34" t="e">
        <f t="shared" si="0"/>
        <v>#DIV/0!</v>
      </c>
      <c r="R34">
        <f t="shared" si="1"/>
        <v>0</v>
      </c>
    </row>
    <row r="35" spans="1:18">
      <c r="A35" t="s">
        <v>91</v>
      </c>
      <c r="B35" t="s">
        <v>21</v>
      </c>
      <c r="C35" t="s">
        <v>25</v>
      </c>
      <c r="D35">
        <v>9</v>
      </c>
      <c r="E35" s="1">
        <v>4</v>
      </c>
      <c r="F35" s="1" t="s">
        <v>92</v>
      </c>
      <c r="K35" t="e">
        <f t="shared" si="0"/>
        <v>#DIV/0!</v>
      </c>
      <c r="R35">
        <f t="shared" si="1"/>
        <v>0</v>
      </c>
    </row>
    <row r="36" spans="1:18">
      <c r="A36" t="s">
        <v>93</v>
      </c>
      <c r="B36" t="s">
        <v>21</v>
      </c>
      <c r="C36" t="s">
        <v>28</v>
      </c>
      <c r="D36">
        <v>9</v>
      </c>
      <c r="E36" s="1">
        <v>4</v>
      </c>
      <c r="F36" s="1" t="s">
        <v>94</v>
      </c>
      <c r="K36" t="e">
        <f t="shared" si="0"/>
        <v>#DIV/0!</v>
      </c>
      <c r="R36">
        <f t="shared" si="1"/>
        <v>0</v>
      </c>
    </row>
    <row r="37" spans="1:18">
      <c r="A37" t="s">
        <v>95</v>
      </c>
      <c r="B37" t="s">
        <v>21</v>
      </c>
      <c r="C37" t="s">
        <v>31</v>
      </c>
      <c r="D37">
        <v>9</v>
      </c>
      <c r="E37" s="1">
        <v>4</v>
      </c>
      <c r="F37" s="1" t="s">
        <v>96</v>
      </c>
      <c r="K37" t="e">
        <f t="shared" si="0"/>
        <v>#DIV/0!</v>
      </c>
      <c r="R37">
        <f t="shared" si="1"/>
        <v>0</v>
      </c>
    </row>
    <row r="38" spans="1:18">
      <c r="A38" t="s">
        <v>97</v>
      </c>
      <c r="B38" t="s">
        <v>21</v>
      </c>
      <c r="C38" t="s">
        <v>22</v>
      </c>
      <c r="D38">
        <v>10</v>
      </c>
      <c r="E38" s="1">
        <v>5</v>
      </c>
      <c r="F38" s="1" t="s">
        <v>98</v>
      </c>
      <c r="K38" t="e">
        <f t="shared" si="0"/>
        <v>#DIV/0!</v>
      </c>
      <c r="R38">
        <f t="shared" si="1"/>
        <v>0</v>
      </c>
    </row>
    <row r="39" spans="1:18">
      <c r="A39" t="s">
        <v>99</v>
      </c>
      <c r="B39" t="s">
        <v>21</v>
      </c>
      <c r="C39" t="s">
        <v>25</v>
      </c>
      <c r="D39">
        <v>10</v>
      </c>
      <c r="E39" s="1">
        <v>5</v>
      </c>
      <c r="F39" s="1" t="s">
        <v>100</v>
      </c>
      <c r="K39" t="e">
        <f t="shared" si="0"/>
        <v>#DIV/0!</v>
      </c>
      <c r="R39">
        <f t="shared" si="1"/>
        <v>0</v>
      </c>
    </row>
    <row r="40" spans="1:18">
      <c r="A40" t="s">
        <v>101</v>
      </c>
      <c r="B40" t="s">
        <v>21</v>
      </c>
      <c r="C40" t="s">
        <v>28</v>
      </c>
      <c r="D40">
        <v>10</v>
      </c>
      <c r="E40" s="1">
        <v>5</v>
      </c>
      <c r="F40" s="1" t="s">
        <v>102</v>
      </c>
      <c r="K40" t="e">
        <f t="shared" si="0"/>
        <v>#DIV/0!</v>
      </c>
      <c r="R40">
        <f t="shared" si="1"/>
        <v>0</v>
      </c>
    </row>
    <row r="41" spans="1:18">
      <c r="A41" t="s">
        <v>103</v>
      </c>
      <c r="B41" t="s">
        <v>21</v>
      </c>
      <c r="C41" t="s">
        <v>31</v>
      </c>
      <c r="D41">
        <v>10</v>
      </c>
      <c r="E41" s="1">
        <v>5</v>
      </c>
      <c r="F41" s="1" t="s">
        <v>104</v>
      </c>
      <c r="K41" t="e">
        <f t="shared" si="0"/>
        <v>#DIV/0!</v>
      </c>
      <c r="R41">
        <f t="shared" si="1"/>
        <v>0</v>
      </c>
    </row>
    <row r="42" spans="1:18">
      <c r="A42" t="s">
        <v>105</v>
      </c>
      <c r="B42" t="s">
        <v>21</v>
      </c>
      <c r="C42" t="s">
        <v>22</v>
      </c>
      <c r="D42">
        <v>11</v>
      </c>
      <c r="E42" s="1">
        <v>5</v>
      </c>
      <c r="F42" s="1" t="s">
        <v>106</v>
      </c>
      <c r="K42" t="e">
        <f t="shared" si="0"/>
        <v>#DIV/0!</v>
      </c>
      <c r="R42">
        <f t="shared" si="1"/>
        <v>0</v>
      </c>
    </row>
    <row r="43" spans="1:18">
      <c r="A43" t="s">
        <v>107</v>
      </c>
      <c r="B43" t="s">
        <v>21</v>
      </c>
      <c r="C43" t="s">
        <v>25</v>
      </c>
      <c r="D43">
        <v>11</v>
      </c>
      <c r="E43" s="1">
        <v>5</v>
      </c>
      <c r="F43" s="1" t="s">
        <v>108</v>
      </c>
      <c r="K43" t="e">
        <f t="shared" si="0"/>
        <v>#DIV/0!</v>
      </c>
      <c r="R43">
        <f t="shared" si="1"/>
        <v>0</v>
      </c>
    </row>
    <row r="44" spans="1:18">
      <c r="A44" t="s">
        <v>109</v>
      </c>
      <c r="B44" t="s">
        <v>21</v>
      </c>
      <c r="C44" t="s">
        <v>28</v>
      </c>
      <c r="D44">
        <v>11</v>
      </c>
      <c r="E44" s="1">
        <v>5</v>
      </c>
      <c r="F44" s="1" t="s">
        <v>110</v>
      </c>
      <c r="K44" t="e">
        <f t="shared" si="0"/>
        <v>#DIV/0!</v>
      </c>
      <c r="R44">
        <f t="shared" si="1"/>
        <v>0</v>
      </c>
    </row>
    <row r="45" spans="1:18">
      <c r="A45" t="s">
        <v>111</v>
      </c>
      <c r="B45" t="s">
        <v>21</v>
      </c>
      <c r="C45" t="s">
        <v>31</v>
      </c>
      <c r="D45">
        <v>11</v>
      </c>
      <c r="E45" s="1">
        <v>5</v>
      </c>
      <c r="F45" s="1" t="s">
        <v>112</v>
      </c>
      <c r="K45" t="e">
        <f t="shared" si="0"/>
        <v>#DIV/0!</v>
      </c>
      <c r="R45">
        <f t="shared" si="1"/>
        <v>0</v>
      </c>
    </row>
    <row r="46" spans="1:18">
      <c r="A46" t="s">
        <v>113</v>
      </c>
      <c r="B46" t="s">
        <v>21</v>
      </c>
      <c r="C46" t="s">
        <v>22</v>
      </c>
      <c r="D46">
        <v>12</v>
      </c>
      <c r="E46" s="1">
        <v>5</v>
      </c>
      <c r="F46" s="1" t="s">
        <v>114</v>
      </c>
      <c r="K46" t="e">
        <f t="shared" si="0"/>
        <v>#DIV/0!</v>
      </c>
      <c r="R46">
        <f t="shared" si="1"/>
        <v>0</v>
      </c>
    </row>
    <row r="47" spans="1:18">
      <c r="A47" t="s">
        <v>115</v>
      </c>
      <c r="B47" t="s">
        <v>21</v>
      </c>
      <c r="C47" t="s">
        <v>25</v>
      </c>
      <c r="D47">
        <v>12</v>
      </c>
      <c r="E47" s="1">
        <v>5</v>
      </c>
      <c r="F47" s="1" t="s">
        <v>116</v>
      </c>
      <c r="K47" t="e">
        <f t="shared" si="0"/>
        <v>#DIV/0!</v>
      </c>
      <c r="R47">
        <f t="shared" si="1"/>
        <v>0</v>
      </c>
    </row>
    <row r="48" spans="1:18">
      <c r="A48" t="s">
        <v>117</v>
      </c>
      <c r="B48" t="s">
        <v>21</v>
      </c>
      <c r="C48" t="s">
        <v>28</v>
      </c>
      <c r="D48">
        <v>12</v>
      </c>
      <c r="E48" s="1">
        <v>5</v>
      </c>
      <c r="F48" s="1" t="s">
        <v>118</v>
      </c>
      <c r="K48" t="e">
        <f t="shared" si="0"/>
        <v>#DIV/0!</v>
      </c>
      <c r="R48">
        <f t="shared" si="1"/>
        <v>0</v>
      </c>
    </row>
    <row r="49" spans="1:18">
      <c r="A49" t="s">
        <v>119</v>
      </c>
      <c r="B49" t="s">
        <v>21</v>
      </c>
      <c r="C49" t="s">
        <v>31</v>
      </c>
      <c r="D49">
        <v>12</v>
      </c>
      <c r="E49" s="1">
        <v>5</v>
      </c>
      <c r="F49" s="1" t="s">
        <v>120</v>
      </c>
      <c r="K49" t="e">
        <f t="shared" si="0"/>
        <v>#DIV/0!</v>
      </c>
      <c r="R49">
        <f t="shared" si="1"/>
        <v>0</v>
      </c>
    </row>
    <row r="50" spans="1:18">
      <c r="A50" t="s">
        <v>121</v>
      </c>
      <c r="B50" t="s">
        <v>21</v>
      </c>
      <c r="C50" t="s">
        <v>22</v>
      </c>
      <c r="D50">
        <v>13</v>
      </c>
      <c r="E50" s="1">
        <v>1</v>
      </c>
      <c r="F50" s="1" t="s">
        <v>122</v>
      </c>
      <c r="G50">
        <v>1.2346873088807906</v>
      </c>
      <c r="H50">
        <v>1.2644491179634916</v>
      </c>
      <c r="I50">
        <v>1.3569799838012375</v>
      </c>
      <c r="J50">
        <v>1.6044101224004916</v>
      </c>
      <c r="K50">
        <f t="shared" si="0"/>
        <v>1.3651316332615027</v>
      </c>
      <c r="L50">
        <v>3.1659509222383044</v>
      </c>
      <c r="M50">
        <v>0.6363803688953219</v>
      </c>
      <c r="N50">
        <v>7.8573076509592978E-3</v>
      </c>
      <c r="O50">
        <v>2.9323019881096997</v>
      </c>
      <c r="P50">
        <v>0.54292079524387982</v>
      </c>
      <c r="Q50">
        <v>7.36732651935395E-3</v>
      </c>
      <c r="R50">
        <f t="shared" si="1"/>
        <v>15.224634170313246</v>
      </c>
    </row>
    <row r="51" spans="1:18">
      <c r="A51" t="s">
        <v>123</v>
      </c>
      <c r="B51" t="s">
        <v>21</v>
      </c>
      <c r="C51" t="s">
        <v>25</v>
      </c>
      <c r="D51">
        <v>13</v>
      </c>
      <c r="E51" s="1">
        <v>1</v>
      </c>
      <c r="F51" s="1" t="s">
        <v>124</v>
      </c>
      <c r="G51">
        <v>1.3741921804831263</v>
      </c>
      <c r="H51">
        <v>1.5481844297021925</v>
      </c>
      <c r="I51">
        <v>1.3796158244873808</v>
      </c>
      <c r="J51">
        <v>1.4736618115211537</v>
      </c>
      <c r="K51">
        <f t="shared" si="0"/>
        <v>1.4439135615484635</v>
      </c>
      <c r="L51">
        <v>2.975577198473315</v>
      </c>
      <c r="M51">
        <v>0.56023087938932614</v>
      </c>
      <c r="N51">
        <v>7.6986489372199741E-3</v>
      </c>
      <c r="O51">
        <v>2.7822229160974934</v>
      </c>
      <c r="P51">
        <v>0.48288916643899749</v>
      </c>
      <c r="Q51">
        <v>7.4760148875272639E-3</v>
      </c>
      <c r="R51">
        <f t="shared" si="1"/>
        <v>15.174663824747237</v>
      </c>
    </row>
    <row r="52" spans="1:18">
      <c r="A52" t="s">
        <v>125</v>
      </c>
      <c r="B52" t="s">
        <v>21</v>
      </c>
      <c r="C52" t="s">
        <v>28</v>
      </c>
      <c r="D52">
        <v>13</v>
      </c>
      <c r="E52" s="1">
        <v>1</v>
      </c>
      <c r="F52" s="1" t="s">
        <v>126</v>
      </c>
      <c r="G52">
        <v>1.4646813067876576</v>
      </c>
      <c r="H52">
        <v>1.5097920284023989</v>
      </c>
      <c r="I52">
        <v>1.5461076989173379</v>
      </c>
      <c r="J52">
        <v>1.417432619697691</v>
      </c>
      <c r="K52">
        <f t="shared" si="0"/>
        <v>1.4845034134512713</v>
      </c>
      <c r="L52">
        <v>3.0024372570977231</v>
      </c>
      <c r="M52">
        <v>0.57097490283908925</v>
      </c>
      <c r="N52">
        <v>8.36296266833313E-3</v>
      </c>
      <c r="O52">
        <v>2.8932236462526526</v>
      </c>
      <c r="P52">
        <v>0.52728945850106113</v>
      </c>
      <c r="Q52">
        <v>8.1524629134644474E-3</v>
      </c>
      <c r="R52">
        <f t="shared" si="1"/>
        <v>16.515425581797576</v>
      </c>
    </row>
    <row r="53" spans="1:18">
      <c r="A53" t="s">
        <v>127</v>
      </c>
      <c r="B53" t="s">
        <v>21</v>
      </c>
      <c r="C53" t="s">
        <v>31</v>
      </c>
      <c r="D53">
        <v>13</v>
      </c>
      <c r="E53" s="1">
        <v>1</v>
      </c>
      <c r="F53" s="1" t="s">
        <v>128</v>
      </c>
      <c r="G53">
        <v>1.2221569416683804</v>
      </c>
      <c r="H53">
        <v>1.2576503177697713</v>
      </c>
      <c r="I53">
        <v>1.2568262737936411</v>
      </c>
      <c r="J53">
        <v>1.702592075378154</v>
      </c>
      <c r="K53">
        <f t="shared" si="0"/>
        <v>1.3598064021524867</v>
      </c>
      <c r="L53">
        <v>2.9666666666666259</v>
      </c>
      <c r="M53">
        <v>0.55666666666665032</v>
      </c>
      <c r="N53">
        <v>6.803340308620451E-3</v>
      </c>
      <c r="O53">
        <v>3.1085444690080024</v>
      </c>
      <c r="P53">
        <v>0.61341778760320109</v>
      </c>
      <c r="Q53">
        <v>7.7146507550479599E-3</v>
      </c>
      <c r="R53">
        <f t="shared" si="1"/>
        <v>14.517991063668411</v>
      </c>
    </row>
    <row r="54" spans="1:18">
      <c r="A54" t="s">
        <v>129</v>
      </c>
      <c r="B54" t="s">
        <v>21</v>
      </c>
      <c r="C54" t="s">
        <v>22</v>
      </c>
      <c r="D54">
        <v>14</v>
      </c>
      <c r="E54" s="1">
        <v>1</v>
      </c>
      <c r="F54" s="1" t="s">
        <v>130</v>
      </c>
      <c r="G54">
        <v>1.6738485117181874</v>
      </c>
      <c r="H54">
        <v>1.6320778800287759</v>
      </c>
      <c r="I54">
        <v>1.5917292928060283</v>
      </c>
      <c r="J54">
        <v>1.5546595608182396</v>
      </c>
      <c r="K54">
        <f t="shared" si="0"/>
        <v>1.6130788113428078</v>
      </c>
      <c r="L54">
        <v>3.1895859918698095</v>
      </c>
      <c r="M54">
        <v>0.64583439674792398</v>
      </c>
      <c r="N54">
        <v>1.0279935276053809E-2</v>
      </c>
      <c r="O54">
        <v>3.1025567365699556</v>
      </c>
      <c r="P54">
        <v>0.61102269462798231</v>
      </c>
      <c r="Q54">
        <v>9.4993227408031646E-3</v>
      </c>
      <c r="R54">
        <f t="shared" si="1"/>
        <v>19.779258016856975</v>
      </c>
    </row>
    <row r="55" spans="1:18">
      <c r="A55" t="s">
        <v>131</v>
      </c>
      <c r="B55" t="s">
        <v>21</v>
      </c>
      <c r="C55" t="s">
        <v>25</v>
      </c>
      <c r="D55">
        <v>14</v>
      </c>
      <c r="E55" s="1">
        <v>1</v>
      </c>
      <c r="F55" s="1" t="s">
        <v>132</v>
      </c>
      <c r="G55">
        <v>1.4929157477362571</v>
      </c>
      <c r="H55">
        <v>1.5578420151549299</v>
      </c>
      <c r="I55">
        <v>1.3031809344041969</v>
      </c>
      <c r="J55">
        <v>1.6842426630179537</v>
      </c>
      <c r="K55">
        <f t="shared" si="0"/>
        <v>1.5095453400783343</v>
      </c>
      <c r="L55">
        <v>3.299136711571804</v>
      </c>
      <c r="M55">
        <v>0.68965468462872159</v>
      </c>
      <c r="N55">
        <v>1.0295963391823005E-2</v>
      </c>
      <c r="O55">
        <v>2.8961222308717396</v>
      </c>
      <c r="P55">
        <v>0.52844889234869596</v>
      </c>
      <c r="Q55">
        <v>8.2323988736288326E-3</v>
      </c>
      <c r="R55">
        <f t="shared" si="1"/>
        <v>18.528362265451836</v>
      </c>
    </row>
    <row r="56" spans="1:18">
      <c r="A56" t="s">
        <v>133</v>
      </c>
      <c r="B56" t="s">
        <v>21</v>
      </c>
      <c r="C56" t="s">
        <v>28</v>
      </c>
      <c r="D56">
        <v>14</v>
      </c>
      <c r="E56" s="1">
        <v>1</v>
      </c>
      <c r="F56" s="1" t="s">
        <v>134</v>
      </c>
      <c r="G56">
        <v>1.471894753313316</v>
      </c>
      <c r="H56">
        <v>1.6149494873945658</v>
      </c>
      <c r="I56">
        <v>1.5129167471738822</v>
      </c>
      <c r="J56">
        <v>1.469308899817094</v>
      </c>
      <c r="K56">
        <f t="shared" si="0"/>
        <v>1.5172674719247143</v>
      </c>
      <c r="L56">
        <v>3.0007254501088299</v>
      </c>
      <c r="M56">
        <v>0.57029018004353194</v>
      </c>
      <c r="N56">
        <v>8.6280156413666795E-3</v>
      </c>
      <c r="O56">
        <v>2.7792988398894458</v>
      </c>
      <c r="P56">
        <v>0.48171953595577832</v>
      </c>
      <c r="Q56">
        <v>7.0779480139558579E-3</v>
      </c>
      <c r="R56">
        <f t="shared" si="1"/>
        <v>15.705963655322536</v>
      </c>
    </row>
    <row r="57" spans="1:18">
      <c r="A57" t="s">
        <v>135</v>
      </c>
      <c r="B57" t="s">
        <v>21</v>
      </c>
      <c r="C57" t="s">
        <v>31</v>
      </c>
      <c r="D57">
        <v>14</v>
      </c>
      <c r="E57" s="1">
        <v>1</v>
      </c>
      <c r="F57" s="1" t="s">
        <v>136</v>
      </c>
      <c r="G57">
        <v>1.5304998511231589</v>
      </c>
      <c r="H57">
        <v>1.4293996277586911</v>
      </c>
      <c r="I57">
        <v>1.2193646397874807</v>
      </c>
      <c r="J57">
        <v>1.2215760868911507</v>
      </c>
      <c r="K57">
        <f t="shared" si="0"/>
        <v>1.3502100513901203</v>
      </c>
      <c r="L57">
        <v>2.9573361359070978</v>
      </c>
      <c r="M57">
        <v>0.55293445436283906</v>
      </c>
      <c r="N57">
        <v>8.4626610008319038E-3</v>
      </c>
      <c r="O57">
        <v>2.9332651822508646</v>
      </c>
      <c r="P57">
        <v>0.54330607290034594</v>
      </c>
      <c r="Q57">
        <v>7.7660149836279073E-3</v>
      </c>
      <c r="R57">
        <f t="shared" si="1"/>
        <v>16.228675984459809</v>
      </c>
    </row>
    <row r="58" spans="1:18">
      <c r="A58" t="s">
        <v>137</v>
      </c>
      <c r="B58" t="s">
        <v>21</v>
      </c>
      <c r="C58" t="s">
        <v>22</v>
      </c>
      <c r="D58">
        <v>15</v>
      </c>
      <c r="E58" s="1">
        <v>1</v>
      </c>
      <c r="F58" s="1" t="s">
        <v>138</v>
      </c>
      <c r="G58">
        <v>1.1202799125174969</v>
      </c>
      <c r="H58">
        <v>1.2575470935774322</v>
      </c>
      <c r="I58">
        <v>1.1008755139203399</v>
      </c>
      <c r="J58">
        <v>1.3913553894127189</v>
      </c>
      <c r="K58">
        <f t="shared" si="0"/>
        <v>1.217514477356997</v>
      </c>
      <c r="L58">
        <v>3.9254298736950686</v>
      </c>
      <c r="M58">
        <v>0.94017194947802751</v>
      </c>
      <c r="N58">
        <v>1.0350122780551113E-2</v>
      </c>
      <c r="O58">
        <v>3.8634507964074269</v>
      </c>
      <c r="P58">
        <v>0.91538031856297086</v>
      </c>
      <c r="Q58">
        <v>1.2736193395949209E-2</v>
      </c>
      <c r="R58">
        <f t="shared" si="1"/>
        <v>23.086316176500326</v>
      </c>
    </row>
    <row r="59" spans="1:18">
      <c r="A59" t="s">
        <v>139</v>
      </c>
      <c r="B59" t="s">
        <v>21</v>
      </c>
      <c r="C59" t="s">
        <v>25</v>
      </c>
      <c r="D59">
        <v>15</v>
      </c>
      <c r="E59" s="1">
        <v>1</v>
      </c>
      <c r="F59" s="1" t="s">
        <v>140</v>
      </c>
      <c r="G59">
        <v>1.432580332532799</v>
      </c>
      <c r="H59">
        <v>1.4708502644518517</v>
      </c>
      <c r="I59">
        <v>1.3822839074249575</v>
      </c>
      <c r="J59">
        <v>1.4389172482048667</v>
      </c>
      <c r="K59">
        <f t="shared" si="0"/>
        <v>1.4311579381536186</v>
      </c>
      <c r="L59">
        <v>3.8634507964074269</v>
      </c>
      <c r="M59">
        <v>0.91538031856297086</v>
      </c>
      <c r="N59">
        <v>1.2736193395949209E-2</v>
      </c>
      <c r="O59">
        <v>3.3241070776664752</v>
      </c>
      <c r="P59">
        <v>0.6996428310665902</v>
      </c>
      <c r="Q59">
        <v>9.6710502632858571E-3</v>
      </c>
      <c r="R59">
        <f t="shared" si="1"/>
        <v>22.407243659235068</v>
      </c>
    </row>
    <row r="60" spans="1:18">
      <c r="A60" t="s">
        <v>141</v>
      </c>
      <c r="B60" t="s">
        <v>21</v>
      </c>
      <c r="C60" t="s">
        <v>28</v>
      </c>
      <c r="D60">
        <v>15</v>
      </c>
      <c r="E60" s="1">
        <v>1</v>
      </c>
      <c r="F60" s="1" t="s">
        <v>142</v>
      </c>
      <c r="G60">
        <v>1.5262676592372584</v>
      </c>
      <c r="H60">
        <v>1.3953916302894331</v>
      </c>
      <c r="I60">
        <v>1.5667472886973992</v>
      </c>
      <c r="J60">
        <v>1.3778907557815114</v>
      </c>
      <c r="K60">
        <f t="shared" si="0"/>
        <v>1.4665743335014003</v>
      </c>
      <c r="L60">
        <v>3.0261437908497024</v>
      </c>
      <c r="M60">
        <v>0.58045751633988096</v>
      </c>
      <c r="N60">
        <v>9.0943023992953471E-3</v>
      </c>
      <c r="O60">
        <v>2.9090623445314332</v>
      </c>
      <c r="P60">
        <v>0.53362493781257336</v>
      </c>
      <c r="Q60">
        <v>7.352768688664287E-3</v>
      </c>
      <c r="R60">
        <f t="shared" si="1"/>
        <v>16.447071087959632</v>
      </c>
    </row>
    <row r="61" spans="1:18">
      <c r="A61" t="s">
        <v>143</v>
      </c>
      <c r="B61" t="s">
        <v>21</v>
      </c>
      <c r="C61" t="s">
        <v>31</v>
      </c>
      <c r="D61">
        <v>15</v>
      </c>
      <c r="E61" s="1">
        <v>1</v>
      </c>
      <c r="F61" s="1" t="s">
        <v>144</v>
      </c>
      <c r="G61">
        <v>1.2837642888689655</v>
      </c>
      <c r="H61">
        <v>1.4026768088809545</v>
      </c>
      <c r="I61">
        <v>1.6093683827579295</v>
      </c>
      <c r="J61">
        <v>1.3278620137487187</v>
      </c>
      <c r="K61">
        <f t="shared" si="0"/>
        <v>1.405917873564142</v>
      </c>
      <c r="L61">
        <v>3.5169351096970649</v>
      </c>
      <c r="M61">
        <v>0.77677404387882609</v>
      </c>
      <c r="N61">
        <v>9.9719477805197184E-3</v>
      </c>
      <c r="O61">
        <v>9.6228954018839588</v>
      </c>
      <c r="P61">
        <v>3.219158160753584</v>
      </c>
      <c r="Q61">
        <v>5.180811363013986E-2</v>
      </c>
      <c r="R61">
        <f t="shared" si="1"/>
        <v>61.780061410659577</v>
      </c>
    </row>
    <row r="62" spans="1:18">
      <c r="A62" t="s">
        <v>145</v>
      </c>
      <c r="B62" t="s">
        <v>146</v>
      </c>
      <c r="C62" t="s">
        <v>22</v>
      </c>
      <c r="D62">
        <v>1</v>
      </c>
      <c r="E62" s="1">
        <v>2</v>
      </c>
      <c r="F62" s="1" t="s">
        <v>147</v>
      </c>
      <c r="G62">
        <v>1.308772536416325</v>
      </c>
      <c r="H62">
        <v>1.1767767874160087</v>
      </c>
      <c r="I62">
        <v>1.2560739618833734</v>
      </c>
      <c r="J62">
        <v>1.3681561895751657</v>
      </c>
      <c r="K62">
        <f t="shared" si="0"/>
        <v>1.2774448688227182</v>
      </c>
      <c r="L62">
        <v>2.920742499732309</v>
      </c>
      <c r="M62">
        <v>0.53829699989292357</v>
      </c>
      <c r="N62">
        <v>7.0450832989515976E-3</v>
      </c>
      <c r="O62">
        <v>2.8389412746163609</v>
      </c>
      <c r="P62">
        <v>0.50557650984654445</v>
      </c>
      <c r="Q62">
        <v>6.3504148975811739E-3</v>
      </c>
      <c r="R62">
        <f t="shared" si="1"/>
        <v>13.395498196532772</v>
      </c>
    </row>
    <row r="63" spans="1:18">
      <c r="A63" t="s">
        <v>148</v>
      </c>
      <c r="B63" t="s">
        <v>146</v>
      </c>
      <c r="C63" t="s">
        <v>25</v>
      </c>
      <c r="D63">
        <v>1</v>
      </c>
      <c r="E63" s="1">
        <v>2</v>
      </c>
      <c r="F63" s="1" t="s">
        <v>149</v>
      </c>
      <c r="G63">
        <v>1.1548302743871801</v>
      </c>
      <c r="H63">
        <v>1.3248702617334687</v>
      </c>
      <c r="I63">
        <v>1.6217027989611534</v>
      </c>
      <c r="J63">
        <v>1.4787880298864655</v>
      </c>
      <c r="K63">
        <f t="shared" si="0"/>
        <v>1.3950478412420668</v>
      </c>
      <c r="L63">
        <v>3.7202265497711351</v>
      </c>
      <c r="M63">
        <v>0.85809061990845403</v>
      </c>
      <c r="N63">
        <v>9.9094902603794541E-3</v>
      </c>
      <c r="O63">
        <v>2.9058749210359793</v>
      </c>
      <c r="P63">
        <v>0.53234996841439186</v>
      </c>
      <c r="Q63">
        <v>8.6331343380450093E-3</v>
      </c>
      <c r="R63">
        <f t="shared" si="1"/>
        <v>18.542624598424464</v>
      </c>
    </row>
    <row r="64" spans="1:18">
      <c r="A64" t="s">
        <v>150</v>
      </c>
      <c r="B64" t="s">
        <v>146</v>
      </c>
      <c r="C64" t="s">
        <v>28</v>
      </c>
      <c r="D64">
        <v>1</v>
      </c>
      <c r="E64" s="1">
        <v>2</v>
      </c>
      <c r="F64" s="1" t="s">
        <v>151</v>
      </c>
      <c r="G64">
        <v>1.4783926287429292</v>
      </c>
      <c r="H64">
        <v>1.6467670325111372</v>
      </c>
      <c r="I64">
        <v>1.3085800845323032</v>
      </c>
      <c r="J64">
        <v>1.6026325668171617</v>
      </c>
      <c r="K64">
        <f t="shared" si="0"/>
        <v>1.5090930781508829</v>
      </c>
      <c r="L64">
        <v>3.0840831129963902</v>
      </c>
      <c r="M64">
        <v>0.6036332451985561</v>
      </c>
      <c r="N64">
        <v>8.9240694016571847E-3</v>
      </c>
      <c r="O64">
        <v>3.5142183817753492</v>
      </c>
      <c r="P64">
        <v>0.77568735271013967</v>
      </c>
      <c r="Q64">
        <v>1.0150490215800731E-2</v>
      </c>
      <c r="R64">
        <f t="shared" si="1"/>
        <v>19.074559617457915</v>
      </c>
    </row>
    <row r="65" spans="1:18">
      <c r="A65" t="s">
        <v>152</v>
      </c>
      <c r="B65" t="s">
        <v>146</v>
      </c>
      <c r="C65" t="s">
        <v>31</v>
      </c>
      <c r="D65">
        <v>1</v>
      </c>
      <c r="E65" s="1">
        <v>2</v>
      </c>
      <c r="F65" s="1" t="s">
        <v>153</v>
      </c>
      <c r="G65">
        <v>1.5403376415218439</v>
      </c>
      <c r="H65">
        <v>1.3097855331513131</v>
      </c>
      <c r="I65">
        <v>1.2099834852227023</v>
      </c>
      <c r="J65">
        <v>1.4665865804394749</v>
      </c>
      <c r="K65">
        <f t="shared" si="0"/>
        <v>1.3816733100838334</v>
      </c>
      <c r="L65">
        <v>3.3207343412527153</v>
      </c>
      <c r="M65">
        <v>0.69829373650108628</v>
      </c>
      <c r="N65">
        <v>1.0756081271715592E-2</v>
      </c>
      <c r="O65">
        <v>3.2928874935545922</v>
      </c>
      <c r="P65">
        <v>0.68715499742183705</v>
      </c>
      <c r="Q65">
        <v>8.3144619866867137E-3</v>
      </c>
      <c r="R65">
        <f t="shared" si="1"/>
        <v>19.070543258402306</v>
      </c>
    </row>
    <row r="66" spans="1:18">
      <c r="A66" t="s">
        <v>154</v>
      </c>
      <c r="B66" t="s">
        <v>146</v>
      </c>
      <c r="C66" t="s">
        <v>22</v>
      </c>
      <c r="D66">
        <v>2</v>
      </c>
      <c r="E66" s="1">
        <v>2</v>
      </c>
      <c r="F66" s="1" t="s">
        <v>155</v>
      </c>
      <c r="G66">
        <v>1.4376243214567559</v>
      </c>
      <c r="H66">
        <v>1.455653563864447</v>
      </c>
      <c r="I66">
        <v>1.2895465932025338</v>
      </c>
      <c r="J66">
        <v>1.3895638373287329</v>
      </c>
      <c r="K66">
        <f t="shared" si="0"/>
        <v>1.3930970789631174</v>
      </c>
      <c r="L66">
        <v>3.1699537850679866</v>
      </c>
      <c r="M66">
        <v>0.63798151402719483</v>
      </c>
      <c r="N66">
        <v>9.1717774120529966E-3</v>
      </c>
      <c r="O66">
        <v>2.8654367771553235</v>
      </c>
      <c r="P66">
        <v>0.5161747108621294</v>
      </c>
      <c r="Q66">
        <v>6.6563133988956184E-3</v>
      </c>
      <c r="R66">
        <f t="shared" si="1"/>
        <v>15.828090810948616</v>
      </c>
    </row>
    <row r="67" spans="1:18">
      <c r="A67" t="s">
        <v>156</v>
      </c>
      <c r="B67" t="s">
        <v>146</v>
      </c>
      <c r="C67" t="s">
        <v>25</v>
      </c>
      <c r="D67">
        <v>2</v>
      </c>
      <c r="E67" s="1">
        <v>2</v>
      </c>
      <c r="F67" s="1" t="s">
        <v>157</v>
      </c>
      <c r="G67">
        <v>1.3473031531600981</v>
      </c>
      <c r="H67">
        <v>1.5630102230222096</v>
      </c>
      <c r="I67">
        <v>1.6597242929935596</v>
      </c>
      <c r="J67">
        <v>1.4434241214161438</v>
      </c>
      <c r="K67">
        <f t="shared" ref="K67:K130" si="2">AVERAGE(G67:J67)</f>
        <v>1.503365447648003</v>
      </c>
      <c r="L67">
        <v>3.9911179014423608</v>
      </c>
      <c r="M67">
        <v>0.96644716057694435</v>
      </c>
      <c r="N67">
        <v>1.3020973068079408E-2</v>
      </c>
      <c r="O67">
        <v>3.0280749956465609</v>
      </c>
      <c r="P67">
        <v>0.58122999825862454</v>
      </c>
      <c r="Q67">
        <v>9.646815479264435E-3</v>
      </c>
      <c r="R67">
        <f t="shared" ref="R67:R130" si="3">(N67+Q67)*1000</f>
        <v>22.667788547343847</v>
      </c>
    </row>
    <row r="68" spans="1:18">
      <c r="A68" t="s">
        <v>158</v>
      </c>
      <c r="B68" t="s">
        <v>146</v>
      </c>
      <c r="C68" t="s">
        <v>28</v>
      </c>
      <c r="D68">
        <v>2</v>
      </c>
      <c r="E68" s="1">
        <v>2</v>
      </c>
      <c r="F68" s="1" t="s">
        <v>159</v>
      </c>
      <c r="G68">
        <v>1.1713986320388865</v>
      </c>
      <c r="H68">
        <v>1.2653676383190511</v>
      </c>
      <c r="I68">
        <v>1.178493108308968</v>
      </c>
      <c r="J68">
        <v>1.2400847094463148</v>
      </c>
      <c r="K68">
        <f t="shared" si="2"/>
        <v>1.2138360220283051</v>
      </c>
      <c r="L68">
        <v>3.8906853030145219</v>
      </c>
      <c r="M68">
        <v>0.92627412120580888</v>
      </c>
      <c r="N68">
        <v>1.0850362384735064E-2</v>
      </c>
      <c r="O68">
        <v>3.9743957822205735</v>
      </c>
      <c r="P68">
        <v>0.95975831288822955</v>
      </c>
      <c r="Q68">
        <v>1.1310685573810207E-2</v>
      </c>
      <c r="R68">
        <f t="shared" si="3"/>
        <v>22.161047958545272</v>
      </c>
    </row>
    <row r="69" spans="1:18">
      <c r="A69" t="s">
        <v>160</v>
      </c>
      <c r="B69" t="s">
        <v>146</v>
      </c>
      <c r="C69" t="s">
        <v>31</v>
      </c>
      <c r="D69">
        <v>2</v>
      </c>
      <c r="E69" s="1">
        <v>2</v>
      </c>
      <c r="F69" s="1" t="s">
        <v>161</v>
      </c>
      <c r="G69">
        <v>1.2690399701787058</v>
      </c>
      <c r="H69">
        <v>1.3062881575498599</v>
      </c>
      <c r="I69">
        <v>1.0904393731186051</v>
      </c>
      <c r="J69">
        <v>1.3407807838543366</v>
      </c>
      <c r="K69">
        <f t="shared" si="2"/>
        <v>1.2516370711753768</v>
      </c>
      <c r="L69">
        <v>3.40800294197834</v>
      </c>
      <c r="M69">
        <v>0.73320117679133612</v>
      </c>
      <c r="N69">
        <v>9.3046159953026914E-3</v>
      </c>
      <c r="O69">
        <v>3.5329729175083764</v>
      </c>
      <c r="P69">
        <v>0.78318916700335073</v>
      </c>
      <c r="Q69">
        <v>8.5402030430041624E-3</v>
      </c>
      <c r="R69">
        <f t="shared" si="3"/>
        <v>17.844819038306856</v>
      </c>
    </row>
    <row r="70" spans="1:18">
      <c r="A70" t="s">
        <v>162</v>
      </c>
      <c r="B70" t="s">
        <v>146</v>
      </c>
      <c r="C70" t="s">
        <v>22</v>
      </c>
      <c r="D70">
        <v>3</v>
      </c>
      <c r="E70" s="1">
        <v>2</v>
      </c>
      <c r="F70" s="1" t="s">
        <v>163</v>
      </c>
      <c r="G70">
        <v>1.3430272222096473</v>
      </c>
      <c r="H70">
        <v>1.3645048524664949</v>
      </c>
      <c r="I70">
        <v>1.4481146986985332</v>
      </c>
      <c r="J70">
        <v>1.3336075772680644</v>
      </c>
      <c r="K70">
        <f t="shared" si="2"/>
        <v>1.3723135876606849</v>
      </c>
      <c r="L70">
        <v>2.9700846612917395</v>
      </c>
      <c r="M70">
        <v>0.5580338645166959</v>
      </c>
      <c r="N70">
        <v>7.4945467096077271E-3</v>
      </c>
      <c r="O70">
        <v>2.915870288498053</v>
      </c>
      <c r="P70">
        <v>0.53634811539922123</v>
      </c>
      <c r="Q70">
        <v>7.766935895288693E-3</v>
      </c>
      <c r="R70">
        <f t="shared" si="3"/>
        <v>15.261482604896422</v>
      </c>
    </row>
    <row r="71" spans="1:18">
      <c r="A71" t="s">
        <v>164</v>
      </c>
      <c r="B71" t="s">
        <v>146</v>
      </c>
      <c r="C71" t="s">
        <v>25</v>
      </c>
      <c r="D71">
        <v>3</v>
      </c>
      <c r="E71" s="1">
        <v>2</v>
      </c>
      <c r="F71" s="1" t="s">
        <v>165</v>
      </c>
      <c r="G71">
        <v>1.5271581865915056</v>
      </c>
      <c r="H71">
        <v>1.4903578872413477</v>
      </c>
      <c r="I71">
        <v>1.3461554401062947</v>
      </c>
      <c r="J71">
        <v>1.3643963795864098</v>
      </c>
      <c r="K71">
        <f t="shared" si="2"/>
        <v>1.4320169733813894</v>
      </c>
      <c r="L71">
        <v>3.2036447787098599</v>
      </c>
      <c r="M71">
        <v>0.65145791148394394</v>
      </c>
      <c r="N71">
        <v>9.9487928274250934E-3</v>
      </c>
      <c r="O71">
        <v>4.2238634752458895</v>
      </c>
      <c r="P71">
        <v>1.0595453900983558</v>
      </c>
      <c r="Q71">
        <v>1.426312790920448E-2</v>
      </c>
      <c r="R71">
        <f t="shared" si="3"/>
        <v>24.211920736629576</v>
      </c>
    </row>
    <row r="72" spans="1:18">
      <c r="A72" t="s">
        <v>166</v>
      </c>
      <c r="B72" t="s">
        <v>146</v>
      </c>
      <c r="C72" t="s">
        <v>28</v>
      </c>
      <c r="D72">
        <v>3</v>
      </c>
      <c r="E72" s="1">
        <v>2</v>
      </c>
      <c r="F72" s="1" t="s">
        <v>167</v>
      </c>
      <c r="G72">
        <v>1.5372444148768369</v>
      </c>
      <c r="H72">
        <v>1.3707402935088056</v>
      </c>
      <c r="I72">
        <v>1.3057965304643131</v>
      </c>
      <c r="J72">
        <v>1.2655635893282369</v>
      </c>
      <c r="K72">
        <f t="shared" si="2"/>
        <v>1.3698362070445482</v>
      </c>
      <c r="L72">
        <v>3.362126159409907</v>
      </c>
      <c r="M72">
        <v>0.71485046376396288</v>
      </c>
      <c r="N72">
        <v>1.0988998828932686E-2</v>
      </c>
      <c r="O72">
        <v>3.8682297953209153</v>
      </c>
      <c r="P72">
        <v>0.91729191812836619</v>
      </c>
      <c r="Q72">
        <v>1.1977966041149753E-2</v>
      </c>
      <c r="R72">
        <f t="shared" si="3"/>
        <v>22.966964870082439</v>
      </c>
    </row>
    <row r="73" spans="1:18">
      <c r="A73" t="s">
        <v>168</v>
      </c>
      <c r="B73" t="s">
        <v>146</v>
      </c>
      <c r="C73" t="s">
        <v>31</v>
      </c>
      <c r="D73">
        <v>3</v>
      </c>
      <c r="E73" s="1">
        <v>2</v>
      </c>
      <c r="F73" s="1" t="s">
        <v>169</v>
      </c>
      <c r="G73">
        <v>1.3333608889440001</v>
      </c>
      <c r="H73">
        <v>1.3720314706943346</v>
      </c>
      <c r="I73">
        <v>1.2715435942335729</v>
      </c>
      <c r="J73">
        <v>1.2051704385595721</v>
      </c>
      <c r="K73">
        <f t="shared" si="2"/>
        <v>1.2955265981078701</v>
      </c>
      <c r="L73">
        <v>3.2018808777429686</v>
      </c>
      <c r="M73">
        <v>0.65075235109718743</v>
      </c>
      <c r="N73">
        <v>8.6768773334134387E-3</v>
      </c>
      <c r="O73">
        <v>3.6845428306360133</v>
      </c>
      <c r="P73">
        <v>0.84381713225440536</v>
      </c>
      <c r="Q73">
        <v>1.0729502692226327E-2</v>
      </c>
      <c r="R73">
        <f t="shared" si="3"/>
        <v>19.406380025639766</v>
      </c>
    </row>
    <row r="74" spans="1:18">
      <c r="A74" t="s">
        <v>170</v>
      </c>
      <c r="B74" t="s">
        <v>146</v>
      </c>
      <c r="C74" t="s">
        <v>22</v>
      </c>
      <c r="D74">
        <v>4</v>
      </c>
      <c r="E74" s="1">
        <v>3</v>
      </c>
      <c r="F74" s="1" t="s">
        <v>171</v>
      </c>
      <c r="G74">
        <v>1.063149695964295</v>
      </c>
      <c r="H74">
        <v>1.0682461717657121</v>
      </c>
      <c r="I74">
        <v>1.5574256192604095</v>
      </c>
      <c r="J74">
        <v>1.4550254708975026</v>
      </c>
      <c r="K74">
        <f t="shared" si="2"/>
        <v>1.2859617394719798</v>
      </c>
      <c r="L74">
        <v>3.5632424786179504</v>
      </c>
      <c r="M74">
        <v>0.79529699144718025</v>
      </c>
      <c r="N74">
        <v>8.4551975465838817E-3</v>
      </c>
      <c r="O74">
        <v>2.8493971335406125</v>
      </c>
      <c r="P74">
        <v>0.50975885341624505</v>
      </c>
      <c r="Q74">
        <v>7.9391149795527173E-3</v>
      </c>
      <c r="R74">
        <f t="shared" si="3"/>
        <v>16.394312526136602</v>
      </c>
    </row>
    <row r="75" spans="1:18">
      <c r="A75" t="s">
        <v>172</v>
      </c>
      <c r="B75" t="s">
        <v>146</v>
      </c>
      <c r="C75" t="s">
        <v>25</v>
      </c>
      <c r="D75">
        <v>4</v>
      </c>
      <c r="E75" s="1">
        <v>3</v>
      </c>
      <c r="F75" s="1" t="s">
        <v>173</v>
      </c>
      <c r="G75">
        <v>1.4851057003701309</v>
      </c>
      <c r="H75">
        <v>1.3650699611804866</v>
      </c>
      <c r="I75">
        <v>1.6842706560192662</v>
      </c>
      <c r="J75">
        <v>1.5611259441213767</v>
      </c>
      <c r="K75">
        <f t="shared" si="2"/>
        <v>1.5238930654228153</v>
      </c>
      <c r="L75">
        <v>3.6953795022316003</v>
      </c>
      <c r="M75">
        <v>0.8481518008926402</v>
      </c>
      <c r="N75">
        <v>1.2595950742848522E-2</v>
      </c>
      <c r="O75">
        <v>2.8528595295418109</v>
      </c>
      <c r="P75">
        <v>0.5111438118167243</v>
      </c>
      <c r="Q75">
        <v>8.6090452324874261E-3</v>
      </c>
      <c r="R75">
        <f t="shared" si="3"/>
        <v>21.204995975335947</v>
      </c>
    </row>
    <row r="76" spans="1:18">
      <c r="A76" t="s">
        <v>174</v>
      </c>
      <c r="B76" t="s">
        <v>146</v>
      </c>
      <c r="C76" t="s">
        <v>28</v>
      </c>
      <c r="D76">
        <v>4</v>
      </c>
      <c r="E76" s="1">
        <v>3</v>
      </c>
      <c r="F76" s="1" t="s">
        <v>175</v>
      </c>
      <c r="G76">
        <v>1.4102856565501489</v>
      </c>
      <c r="H76">
        <v>1.4135590881411038</v>
      </c>
      <c r="I76">
        <v>1.217209178686435</v>
      </c>
      <c r="J76">
        <v>1.3594836078561046</v>
      </c>
      <c r="K76">
        <f t="shared" si="2"/>
        <v>1.3501343828084482</v>
      </c>
      <c r="L76">
        <v>3.4732013335708767</v>
      </c>
      <c r="M76">
        <v>0.75928053342835067</v>
      </c>
      <c r="N76">
        <v>1.0708024455917488E-2</v>
      </c>
      <c r="O76">
        <v>3.6401015065368996</v>
      </c>
      <c r="P76">
        <v>0.82604060261475987</v>
      </c>
      <c r="Q76">
        <v>1.0054642034703597E-2</v>
      </c>
      <c r="R76">
        <f t="shared" si="3"/>
        <v>20.762666490621086</v>
      </c>
    </row>
    <row r="77" spans="1:18">
      <c r="A77" t="s">
        <v>176</v>
      </c>
      <c r="B77" t="s">
        <v>146</v>
      </c>
      <c r="C77" t="s">
        <v>31</v>
      </c>
      <c r="D77">
        <v>4</v>
      </c>
      <c r="E77" s="1">
        <v>3</v>
      </c>
      <c r="F77" s="1" t="s">
        <v>177</v>
      </c>
      <c r="G77">
        <v>1.113705056334275</v>
      </c>
      <c r="H77">
        <v>1.125684311333349</v>
      </c>
      <c r="I77">
        <v>1.338644567941693</v>
      </c>
      <c r="J77">
        <v>1.3303183996138717</v>
      </c>
      <c r="K77">
        <f t="shared" si="2"/>
        <v>1.2270880838057971</v>
      </c>
      <c r="L77">
        <v>3.522024606361934</v>
      </c>
      <c r="M77">
        <v>0.7788098425447737</v>
      </c>
      <c r="N77">
        <v>8.6736445956501502E-3</v>
      </c>
      <c r="O77">
        <v>3.4053400437922745</v>
      </c>
      <c r="P77">
        <v>0.73213601751690993</v>
      </c>
      <c r="Q77">
        <v>9.8006990284347575E-3</v>
      </c>
      <c r="R77">
        <f t="shared" si="3"/>
        <v>18.474343624084906</v>
      </c>
    </row>
    <row r="78" spans="1:18">
      <c r="A78" t="s">
        <v>178</v>
      </c>
      <c r="B78" t="s">
        <v>146</v>
      </c>
      <c r="C78" t="s">
        <v>22</v>
      </c>
      <c r="D78">
        <v>5</v>
      </c>
      <c r="E78" s="1">
        <v>3</v>
      </c>
      <c r="F78" s="1" t="s">
        <v>179</v>
      </c>
      <c r="G78">
        <v>1.4180204727252488</v>
      </c>
      <c r="H78">
        <v>1.2986285725657871</v>
      </c>
      <c r="I78">
        <v>1.3771069517447676</v>
      </c>
      <c r="J78">
        <v>1.4544656108712568</v>
      </c>
      <c r="K78">
        <f t="shared" si="2"/>
        <v>1.3870554019767651</v>
      </c>
      <c r="L78">
        <v>3.0866058883535641</v>
      </c>
      <c r="M78">
        <v>0.60464235534142563</v>
      </c>
      <c r="N78">
        <v>8.5739523855095628E-3</v>
      </c>
      <c r="O78">
        <v>2.8798177282216146</v>
      </c>
      <c r="P78">
        <v>0.52192709128864589</v>
      </c>
      <c r="Q78">
        <v>7.1874942571752021E-3</v>
      </c>
      <c r="R78">
        <f t="shared" si="3"/>
        <v>15.761446642684765</v>
      </c>
    </row>
    <row r="79" spans="1:18">
      <c r="A79" t="s">
        <v>180</v>
      </c>
      <c r="B79" t="s">
        <v>146</v>
      </c>
      <c r="C79" t="s">
        <v>25</v>
      </c>
      <c r="D79">
        <v>5</v>
      </c>
      <c r="E79" s="1">
        <v>3</v>
      </c>
      <c r="F79" s="1" t="s">
        <v>181</v>
      </c>
      <c r="G79">
        <v>1.3865405931870065</v>
      </c>
      <c r="H79">
        <v>1.23304796874144</v>
      </c>
      <c r="I79">
        <v>1.6279854781931784</v>
      </c>
      <c r="J79">
        <v>1.5662241694853762</v>
      </c>
      <c r="K79">
        <f t="shared" si="2"/>
        <v>1.4534495524017501</v>
      </c>
      <c r="L79">
        <v>3.4746324784122984</v>
      </c>
      <c r="M79">
        <v>0.75985299136491935</v>
      </c>
      <c r="N79">
        <v>1.0535670173820367E-2</v>
      </c>
      <c r="O79">
        <v>2.9499655696597036</v>
      </c>
      <c r="P79">
        <v>0.54998622786388152</v>
      </c>
      <c r="Q79">
        <v>8.9536959216864366E-3</v>
      </c>
      <c r="R79">
        <f t="shared" si="3"/>
        <v>19.489366095506806</v>
      </c>
    </row>
    <row r="80" spans="1:18">
      <c r="A80" t="s">
        <v>182</v>
      </c>
      <c r="B80" t="s">
        <v>146</v>
      </c>
      <c r="C80" t="s">
        <v>28</v>
      </c>
      <c r="D80">
        <v>5</v>
      </c>
      <c r="E80" s="1">
        <v>3</v>
      </c>
      <c r="F80" s="1" t="s">
        <v>183</v>
      </c>
      <c r="G80">
        <v>1.2285988310953693</v>
      </c>
      <c r="H80">
        <v>1.2359784860663194</v>
      </c>
      <c r="I80">
        <v>1.0878272761836529</v>
      </c>
      <c r="J80">
        <v>1.0718082811826999</v>
      </c>
      <c r="K80">
        <f t="shared" si="2"/>
        <v>1.1560532186320105</v>
      </c>
      <c r="L80">
        <v>3.3728143658345671</v>
      </c>
      <c r="M80">
        <v>0.71912574633382687</v>
      </c>
      <c r="N80">
        <v>8.8351705135632473E-3</v>
      </c>
      <c r="O80">
        <v>4.1398457717265575</v>
      </c>
      <c r="P80">
        <v>1.0259383086906233</v>
      </c>
      <c r="Q80">
        <v>1.1160436758753844E-2</v>
      </c>
      <c r="R80">
        <f t="shared" si="3"/>
        <v>19.995607272317091</v>
      </c>
    </row>
    <row r="81" spans="1:18">
      <c r="A81" t="s">
        <v>184</v>
      </c>
      <c r="B81" t="s">
        <v>146</v>
      </c>
      <c r="C81" t="s">
        <v>31</v>
      </c>
      <c r="D81">
        <v>5</v>
      </c>
      <c r="E81" s="1">
        <v>3</v>
      </c>
      <c r="F81" s="1" t="s">
        <v>185</v>
      </c>
      <c r="G81">
        <v>1.3590217233344519</v>
      </c>
      <c r="H81">
        <v>1.1105383480608231</v>
      </c>
      <c r="I81">
        <v>1.6071639339045873</v>
      </c>
      <c r="J81">
        <v>1.3910124751466433</v>
      </c>
      <c r="K81">
        <f t="shared" si="2"/>
        <v>1.3669341201116265</v>
      </c>
      <c r="L81">
        <v>3.424190474976557</v>
      </c>
      <c r="M81">
        <v>0.7396761899906229</v>
      </c>
      <c r="N81">
        <v>1.0052360104305179E-2</v>
      </c>
      <c r="O81">
        <v>3.0510140558959535</v>
      </c>
      <c r="P81">
        <v>0.59040562235838145</v>
      </c>
      <c r="Q81">
        <v>9.4887862262888253E-3</v>
      </c>
      <c r="R81">
        <f t="shared" si="3"/>
        <v>19.541146330594007</v>
      </c>
    </row>
    <row r="82" spans="1:18">
      <c r="A82" t="s">
        <v>186</v>
      </c>
      <c r="B82" t="s">
        <v>146</v>
      </c>
      <c r="C82" t="s">
        <v>22</v>
      </c>
      <c r="D82">
        <v>6</v>
      </c>
      <c r="E82" s="1">
        <v>3</v>
      </c>
      <c r="F82" s="1" t="s">
        <v>187</v>
      </c>
      <c r="G82">
        <v>1.6518880021887026</v>
      </c>
      <c r="H82">
        <v>1.5193096488485747</v>
      </c>
      <c r="I82">
        <v>1.576896501235683</v>
      </c>
      <c r="J82">
        <v>1.5001099490735137</v>
      </c>
      <c r="K82">
        <f t="shared" si="2"/>
        <v>1.5620510253366184</v>
      </c>
      <c r="L82">
        <v>2.953386767650279</v>
      </c>
      <c r="M82">
        <v>0.55135470706011158</v>
      </c>
      <c r="N82">
        <v>9.1077622554286506E-3</v>
      </c>
      <c r="O82">
        <v>2.5141756016900203</v>
      </c>
      <c r="P82">
        <v>0.37567024067600807</v>
      </c>
      <c r="Q82">
        <v>5.923930881403641E-3</v>
      </c>
      <c r="R82">
        <f t="shared" si="3"/>
        <v>15.03169313683229</v>
      </c>
    </row>
    <row r="83" spans="1:18">
      <c r="A83" t="s">
        <v>188</v>
      </c>
      <c r="B83" t="s">
        <v>146</v>
      </c>
      <c r="C83" t="s">
        <v>25</v>
      </c>
      <c r="D83">
        <v>6</v>
      </c>
      <c r="E83" s="1">
        <v>3</v>
      </c>
      <c r="F83" s="1" t="s">
        <v>189</v>
      </c>
      <c r="G83">
        <v>1.4745779991266037</v>
      </c>
      <c r="H83">
        <v>1.1755456785457958</v>
      </c>
      <c r="I83">
        <v>1.2745796685009008</v>
      </c>
      <c r="J83">
        <v>1.0706652336291151</v>
      </c>
      <c r="K83">
        <f t="shared" si="2"/>
        <v>1.248842144950604</v>
      </c>
      <c r="L83">
        <v>3.96813408378926</v>
      </c>
      <c r="M83">
        <v>0.95725363351570414</v>
      </c>
      <c r="N83">
        <v>1.4115451475662582E-2</v>
      </c>
      <c r="O83">
        <v>2.9281884134160023</v>
      </c>
      <c r="P83">
        <v>0.54127536536640097</v>
      </c>
      <c r="Q83">
        <v>6.8989857575641128E-3</v>
      </c>
      <c r="R83">
        <f t="shared" si="3"/>
        <v>21.014437233226694</v>
      </c>
    </row>
    <row r="84" spans="1:18">
      <c r="A84" t="s">
        <v>190</v>
      </c>
      <c r="B84" t="s">
        <v>146</v>
      </c>
      <c r="C84" t="s">
        <v>28</v>
      </c>
      <c r="D84">
        <v>6</v>
      </c>
      <c r="E84" s="1">
        <v>3</v>
      </c>
      <c r="F84" s="1" t="s">
        <v>191</v>
      </c>
      <c r="G84">
        <v>1.2538082783396605</v>
      </c>
      <c r="H84">
        <v>1.2406953067874389</v>
      </c>
      <c r="I84">
        <v>1.5096258199571073</v>
      </c>
      <c r="J84">
        <v>1.2141386963549943</v>
      </c>
      <c r="K84">
        <f t="shared" si="2"/>
        <v>1.3045670253598003</v>
      </c>
      <c r="L84">
        <v>3.0068490055708672</v>
      </c>
      <c r="M84">
        <v>0.57273960222834697</v>
      </c>
      <c r="N84">
        <v>7.1810565460686563E-3</v>
      </c>
      <c r="O84">
        <v>2.7419692920400447</v>
      </c>
      <c r="P84">
        <v>0.46678771681601783</v>
      </c>
      <c r="Q84">
        <v>7.0467478974428699E-3</v>
      </c>
      <c r="R84">
        <f t="shared" si="3"/>
        <v>14.227804443511527</v>
      </c>
    </row>
    <row r="85" spans="1:18">
      <c r="A85" t="s">
        <v>192</v>
      </c>
      <c r="B85" t="s">
        <v>146</v>
      </c>
      <c r="C85" t="s">
        <v>31</v>
      </c>
      <c r="D85">
        <v>6</v>
      </c>
      <c r="E85" s="1">
        <v>3</v>
      </c>
      <c r="F85" s="1" t="s">
        <v>193</v>
      </c>
      <c r="G85">
        <v>1.0998852614989181</v>
      </c>
      <c r="H85">
        <v>1.0876365738622129</v>
      </c>
      <c r="I85">
        <v>1.0847690407902861</v>
      </c>
      <c r="J85">
        <v>1.3049549908623626</v>
      </c>
      <c r="K85">
        <f t="shared" si="2"/>
        <v>1.1443114667534449</v>
      </c>
      <c r="L85">
        <v>3.7252664609320196</v>
      </c>
      <c r="M85">
        <v>0.86010658437280785</v>
      </c>
      <c r="N85">
        <v>9.4601855546982694E-3</v>
      </c>
      <c r="O85">
        <v>3.1535153209030531</v>
      </c>
      <c r="P85">
        <v>0.63140612836122123</v>
      </c>
      <c r="Q85">
        <v>6.8492982021151018E-3</v>
      </c>
      <c r="R85">
        <f t="shared" si="3"/>
        <v>16.309483756813371</v>
      </c>
    </row>
    <row r="86" spans="1:18">
      <c r="A86" t="s">
        <v>194</v>
      </c>
      <c r="B86" t="s">
        <v>146</v>
      </c>
      <c r="C86" t="s">
        <v>22</v>
      </c>
      <c r="D86">
        <v>7</v>
      </c>
      <c r="E86" s="1">
        <v>4</v>
      </c>
      <c r="F86" s="1" t="s">
        <v>195</v>
      </c>
      <c r="K86" t="e">
        <f t="shared" si="2"/>
        <v>#DIV/0!</v>
      </c>
      <c r="R86">
        <f t="shared" si="3"/>
        <v>0</v>
      </c>
    </row>
    <row r="87" spans="1:18">
      <c r="A87" t="s">
        <v>196</v>
      </c>
      <c r="B87" t="s">
        <v>146</v>
      </c>
      <c r="C87" t="s">
        <v>25</v>
      </c>
      <c r="D87">
        <v>7</v>
      </c>
      <c r="E87" s="1">
        <v>4</v>
      </c>
      <c r="F87" s="1" t="s">
        <v>197</v>
      </c>
      <c r="K87" t="e">
        <f t="shared" si="2"/>
        <v>#DIV/0!</v>
      </c>
      <c r="R87">
        <f t="shared" si="3"/>
        <v>0</v>
      </c>
    </row>
    <row r="88" spans="1:18">
      <c r="A88" t="s">
        <v>198</v>
      </c>
      <c r="B88" t="s">
        <v>146</v>
      </c>
      <c r="C88" t="s">
        <v>28</v>
      </c>
      <c r="D88">
        <v>7</v>
      </c>
      <c r="E88" s="1">
        <v>4</v>
      </c>
      <c r="F88" s="1" t="s">
        <v>199</v>
      </c>
      <c r="K88" t="e">
        <f t="shared" si="2"/>
        <v>#DIV/0!</v>
      </c>
      <c r="R88">
        <f t="shared" si="3"/>
        <v>0</v>
      </c>
    </row>
    <row r="89" spans="1:18">
      <c r="A89" t="s">
        <v>200</v>
      </c>
      <c r="B89" t="s">
        <v>146</v>
      </c>
      <c r="C89" t="s">
        <v>31</v>
      </c>
      <c r="D89">
        <v>7</v>
      </c>
      <c r="E89" s="1">
        <v>4</v>
      </c>
      <c r="F89" s="1" t="s">
        <v>201</v>
      </c>
      <c r="K89" t="e">
        <f t="shared" si="2"/>
        <v>#DIV/0!</v>
      </c>
      <c r="R89">
        <f t="shared" si="3"/>
        <v>0</v>
      </c>
    </row>
    <row r="90" spans="1:18">
      <c r="A90" t="s">
        <v>202</v>
      </c>
      <c r="B90" t="s">
        <v>146</v>
      </c>
      <c r="C90" t="s">
        <v>22</v>
      </c>
      <c r="D90">
        <v>8</v>
      </c>
      <c r="E90" s="1">
        <v>4</v>
      </c>
      <c r="F90" s="1" t="s">
        <v>203</v>
      </c>
      <c r="K90" t="e">
        <f t="shared" si="2"/>
        <v>#DIV/0!</v>
      </c>
      <c r="R90">
        <f t="shared" si="3"/>
        <v>0</v>
      </c>
    </row>
    <row r="91" spans="1:18">
      <c r="A91" t="s">
        <v>204</v>
      </c>
      <c r="B91" t="s">
        <v>146</v>
      </c>
      <c r="C91" t="s">
        <v>25</v>
      </c>
      <c r="D91">
        <v>8</v>
      </c>
      <c r="E91" s="1">
        <v>4</v>
      </c>
      <c r="F91" s="1" t="s">
        <v>205</v>
      </c>
      <c r="K91" t="e">
        <f t="shared" si="2"/>
        <v>#DIV/0!</v>
      </c>
      <c r="R91">
        <f t="shared" si="3"/>
        <v>0</v>
      </c>
    </row>
    <row r="92" spans="1:18">
      <c r="A92" t="s">
        <v>206</v>
      </c>
      <c r="B92" t="s">
        <v>146</v>
      </c>
      <c r="C92" t="s">
        <v>28</v>
      </c>
      <c r="D92">
        <v>8</v>
      </c>
      <c r="E92" s="1">
        <v>4</v>
      </c>
      <c r="F92" s="1" t="s">
        <v>207</v>
      </c>
      <c r="K92" t="e">
        <f t="shared" si="2"/>
        <v>#DIV/0!</v>
      </c>
      <c r="R92">
        <f t="shared" si="3"/>
        <v>0</v>
      </c>
    </row>
    <row r="93" spans="1:18">
      <c r="A93" t="s">
        <v>208</v>
      </c>
      <c r="B93" t="s">
        <v>146</v>
      </c>
      <c r="C93" t="s">
        <v>31</v>
      </c>
      <c r="D93">
        <v>8</v>
      </c>
      <c r="E93" s="1">
        <v>4</v>
      </c>
      <c r="F93" s="1" t="s">
        <v>209</v>
      </c>
      <c r="K93" t="e">
        <f t="shared" si="2"/>
        <v>#DIV/0!</v>
      </c>
      <c r="R93">
        <f t="shared" si="3"/>
        <v>0</v>
      </c>
    </row>
    <row r="94" spans="1:18">
      <c r="A94" t="s">
        <v>210</v>
      </c>
      <c r="B94" t="s">
        <v>146</v>
      </c>
      <c r="C94" t="s">
        <v>22</v>
      </c>
      <c r="D94">
        <v>9</v>
      </c>
      <c r="E94" s="1">
        <v>4</v>
      </c>
      <c r="F94" s="1" t="s">
        <v>211</v>
      </c>
      <c r="K94" t="e">
        <f t="shared" si="2"/>
        <v>#DIV/0!</v>
      </c>
      <c r="R94">
        <f t="shared" si="3"/>
        <v>0</v>
      </c>
    </row>
    <row r="95" spans="1:18">
      <c r="A95" t="s">
        <v>212</v>
      </c>
      <c r="B95" t="s">
        <v>146</v>
      </c>
      <c r="C95" t="s">
        <v>25</v>
      </c>
      <c r="D95">
        <v>9</v>
      </c>
      <c r="E95" s="1">
        <v>4</v>
      </c>
      <c r="F95" s="1" t="s">
        <v>213</v>
      </c>
      <c r="K95" t="e">
        <f t="shared" si="2"/>
        <v>#DIV/0!</v>
      </c>
      <c r="R95">
        <f t="shared" si="3"/>
        <v>0</v>
      </c>
    </row>
    <row r="96" spans="1:18">
      <c r="A96" t="s">
        <v>214</v>
      </c>
      <c r="B96" t="s">
        <v>146</v>
      </c>
      <c r="C96" t="s">
        <v>28</v>
      </c>
      <c r="D96">
        <v>9</v>
      </c>
      <c r="E96" s="1">
        <v>4</v>
      </c>
      <c r="F96" s="1" t="s">
        <v>215</v>
      </c>
      <c r="K96" t="e">
        <f t="shared" si="2"/>
        <v>#DIV/0!</v>
      </c>
      <c r="R96">
        <f t="shared" si="3"/>
        <v>0</v>
      </c>
    </row>
    <row r="97" spans="1:18">
      <c r="A97" t="s">
        <v>216</v>
      </c>
      <c r="B97" t="s">
        <v>146</v>
      </c>
      <c r="C97" t="s">
        <v>31</v>
      </c>
      <c r="D97">
        <v>9</v>
      </c>
      <c r="E97" s="1">
        <v>4</v>
      </c>
      <c r="F97" s="1" t="s">
        <v>217</v>
      </c>
      <c r="K97" t="e">
        <f t="shared" si="2"/>
        <v>#DIV/0!</v>
      </c>
      <c r="R97">
        <f t="shared" si="3"/>
        <v>0</v>
      </c>
    </row>
    <row r="98" spans="1:18">
      <c r="A98" t="s">
        <v>218</v>
      </c>
      <c r="B98" t="s">
        <v>146</v>
      </c>
      <c r="C98" t="s">
        <v>22</v>
      </c>
      <c r="D98">
        <v>10</v>
      </c>
      <c r="E98" s="1">
        <v>5</v>
      </c>
      <c r="F98" t="s">
        <v>219</v>
      </c>
      <c r="K98" t="e">
        <f t="shared" si="2"/>
        <v>#DIV/0!</v>
      </c>
      <c r="R98">
        <f t="shared" si="3"/>
        <v>0</v>
      </c>
    </row>
    <row r="99" spans="1:18">
      <c r="A99" t="s">
        <v>220</v>
      </c>
      <c r="B99" t="s">
        <v>146</v>
      </c>
      <c r="C99" t="s">
        <v>25</v>
      </c>
      <c r="D99">
        <v>10</v>
      </c>
      <c r="E99" s="1">
        <v>5</v>
      </c>
      <c r="F99" t="s">
        <v>221</v>
      </c>
      <c r="K99" t="e">
        <f t="shared" si="2"/>
        <v>#DIV/0!</v>
      </c>
      <c r="R99">
        <f t="shared" si="3"/>
        <v>0</v>
      </c>
    </row>
    <row r="100" spans="1:18">
      <c r="A100" t="s">
        <v>222</v>
      </c>
      <c r="B100" t="s">
        <v>146</v>
      </c>
      <c r="C100" t="s">
        <v>28</v>
      </c>
      <c r="D100">
        <v>10</v>
      </c>
      <c r="E100" s="1">
        <v>5</v>
      </c>
      <c r="F100" t="s">
        <v>223</v>
      </c>
      <c r="K100" t="e">
        <f t="shared" si="2"/>
        <v>#DIV/0!</v>
      </c>
      <c r="R100">
        <f t="shared" si="3"/>
        <v>0</v>
      </c>
    </row>
    <row r="101" spans="1:18">
      <c r="A101" t="s">
        <v>224</v>
      </c>
      <c r="B101" t="s">
        <v>146</v>
      </c>
      <c r="C101" t="s">
        <v>31</v>
      </c>
      <c r="D101">
        <v>10</v>
      </c>
      <c r="E101" s="1">
        <v>5</v>
      </c>
      <c r="F101" t="s">
        <v>225</v>
      </c>
      <c r="K101" t="e">
        <f t="shared" si="2"/>
        <v>#DIV/0!</v>
      </c>
      <c r="R101">
        <f t="shared" si="3"/>
        <v>0</v>
      </c>
    </row>
    <row r="102" spans="1:18">
      <c r="A102" t="s">
        <v>226</v>
      </c>
      <c r="B102" t="s">
        <v>146</v>
      </c>
      <c r="C102" t="s">
        <v>22</v>
      </c>
      <c r="D102">
        <v>11</v>
      </c>
      <c r="E102" s="1">
        <v>5</v>
      </c>
      <c r="F102" t="s">
        <v>227</v>
      </c>
      <c r="K102" t="e">
        <f t="shared" si="2"/>
        <v>#DIV/0!</v>
      </c>
      <c r="R102">
        <f t="shared" si="3"/>
        <v>0</v>
      </c>
    </row>
    <row r="103" spans="1:18">
      <c r="A103" t="s">
        <v>228</v>
      </c>
      <c r="B103" t="s">
        <v>146</v>
      </c>
      <c r="C103" t="s">
        <v>25</v>
      </c>
      <c r="D103">
        <v>11</v>
      </c>
      <c r="E103" s="1">
        <v>5</v>
      </c>
      <c r="F103" t="s">
        <v>229</v>
      </c>
      <c r="K103" t="e">
        <f t="shared" si="2"/>
        <v>#DIV/0!</v>
      </c>
      <c r="R103">
        <f t="shared" si="3"/>
        <v>0</v>
      </c>
    </row>
    <row r="104" spans="1:18">
      <c r="A104" t="s">
        <v>230</v>
      </c>
      <c r="B104" t="s">
        <v>146</v>
      </c>
      <c r="C104" t="s">
        <v>28</v>
      </c>
      <c r="D104">
        <v>11</v>
      </c>
      <c r="E104" s="1">
        <v>5</v>
      </c>
      <c r="F104" t="s">
        <v>231</v>
      </c>
      <c r="K104" t="e">
        <f t="shared" si="2"/>
        <v>#DIV/0!</v>
      </c>
      <c r="R104">
        <f t="shared" si="3"/>
        <v>0</v>
      </c>
    </row>
    <row r="105" spans="1:18">
      <c r="A105" t="s">
        <v>232</v>
      </c>
      <c r="B105" t="s">
        <v>146</v>
      </c>
      <c r="C105" t="s">
        <v>31</v>
      </c>
      <c r="D105">
        <v>11</v>
      </c>
      <c r="E105" s="1">
        <v>5</v>
      </c>
      <c r="F105" t="s">
        <v>233</v>
      </c>
      <c r="K105" t="e">
        <f t="shared" si="2"/>
        <v>#DIV/0!</v>
      </c>
      <c r="R105">
        <f t="shared" si="3"/>
        <v>0</v>
      </c>
    </row>
    <row r="106" spans="1:18">
      <c r="A106" t="s">
        <v>234</v>
      </c>
      <c r="B106" t="s">
        <v>146</v>
      </c>
      <c r="C106" t="s">
        <v>22</v>
      </c>
      <c r="D106">
        <v>12</v>
      </c>
      <c r="E106" s="1">
        <v>5</v>
      </c>
      <c r="F106" t="s">
        <v>235</v>
      </c>
      <c r="K106" t="e">
        <f t="shared" si="2"/>
        <v>#DIV/0!</v>
      </c>
      <c r="R106">
        <f t="shared" si="3"/>
        <v>0</v>
      </c>
    </row>
    <row r="107" spans="1:18">
      <c r="A107" t="s">
        <v>236</v>
      </c>
      <c r="B107" t="s">
        <v>146</v>
      </c>
      <c r="C107" t="s">
        <v>25</v>
      </c>
      <c r="D107">
        <v>12</v>
      </c>
      <c r="E107" s="1">
        <v>5</v>
      </c>
      <c r="F107" t="s">
        <v>237</v>
      </c>
      <c r="K107" t="e">
        <f t="shared" si="2"/>
        <v>#DIV/0!</v>
      </c>
      <c r="R107">
        <f t="shared" si="3"/>
        <v>0</v>
      </c>
    </row>
    <row r="108" spans="1:18">
      <c r="A108" t="s">
        <v>238</v>
      </c>
      <c r="B108" t="s">
        <v>146</v>
      </c>
      <c r="C108" t="s">
        <v>28</v>
      </c>
      <c r="D108">
        <v>12</v>
      </c>
      <c r="E108" s="1">
        <v>5</v>
      </c>
      <c r="F108" t="s">
        <v>239</v>
      </c>
      <c r="K108" t="e">
        <f t="shared" si="2"/>
        <v>#DIV/0!</v>
      </c>
      <c r="R108">
        <f t="shared" si="3"/>
        <v>0</v>
      </c>
    </row>
    <row r="109" spans="1:18">
      <c r="A109" t="s">
        <v>240</v>
      </c>
      <c r="B109" t="s">
        <v>146</v>
      </c>
      <c r="C109" t="s">
        <v>31</v>
      </c>
      <c r="D109">
        <v>12</v>
      </c>
      <c r="E109" s="1">
        <v>5</v>
      </c>
      <c r="F109" t="s">
        <v>241</v>
      </c>
      <c r="K109" t="e">
        <f t="shared" si="2"/>
        <v>#DIV/0!</v>
      </c>
      <c r="R109">
        <f t="shared" si="3"/>
        <v>0</v>
      </c>
    </row>
    <row r="110" spans="1:18">
      <c r="A110" t="s">
        <v>242</v>
      </c>
      <c r="B110" t="s">
        <v>146</v>
      </c>
      <c r="C110" t="s">
        <v>22</v>
      </c>
      <c r="D110">
        <v>13</v>
      </c>
      <c r="E110" s="1">
        <v>1</v>
      </c>
      <c r="F110" t="s">
        <v>243</v>
      </c>
      <c r="G110">
        <v>1.1288790126081134</v>
      </c>
      <c r="H110">
        <v>0.78016844569844346</v>
      </c>
      <c r="I110">
        <v>1.1790232257713191</v>
      </c>
      <c r="J110">
        <v>1.4889984771151199</v>
      </c>
      <c r="K110">
        <f t="shared" si="2"/>
        <v>1.1442672902982491</v>
      </c>
      <c r="L110">
        <v>4.3115942028985419</v>
      </c>
      <c r="M110">
        <v>1.094637681159417</v>
      </c>
      <c r="N110">
        <v>1.2357135046708774E-2</v>
      </c>
      <c r="O110">
        <v>3.4696051667887735</v>
      </c>
      <c r="P110">
        <v>0.75784206671550958</v>
      </c>
      <c r="Q110">
        <v>8.9351339812412337E-3</v>
      </c>
      <c r="R110">
        <f t="shared" si="3"/>
        <v>21.292269027950006</v>
      </c>
    </row>
    <row r="111" spans="1:18">
      <c r="A111" t="s">
        <v>244</v>
      </c>
      <c r="B111" t="s">
        <v>146</v>
      </c>
      <c r="C111" t="s">
        <v>25</v>
      </c>
      <c r="D111">
        <v>13</v>
      </c>
      <c r="E111" s="1">
        <v>1</v>
      </c>
      <c r="F111" t="s">
        <v>245</v>
      </c>
      <c r="G111">
        <v>1.293570587141174</v>
      </c>
      <c r="H111">
        <v>1.2772034291863998</v>
      </c>
      <c r="I111">
        <v>0.94220943291974757</v>
      </c>
      <c r="J111">
        <v>1.2709067534537186</v>
      </c>
      <c r="K111">
        <f t="shared" si="2"/>
        <v>1.1959725506752601</v>
      </c>
      <c r="L111">
        <v>4.2316081697402463</v>
      </c>
      <c r="M111">
        <v>1.0626432678960986</v>
      </c>
      <c r="N111">
        <v>1.3746040759739722E-2</v>
      </c>
      <c r="O111">
        <v>3.4561551938924304</v>
      </c>
      <c r="P111">
        <v>0.75246207755697225</v>
      </c>
      <c r="Q111">
        <v>7.0897686738856987E-3</v>
      </c>
      <c r="R111">
        <f t="shared" si="3"/>
        <v>20.835809433625421</v>
      </c>
    </row>
    <row r="112" spans="1:18">
      <c r="A112" t="s">
        <v>246</v>
      </c>
      <c r="B112" t="s">
        <v>146</v>
      </c>
      <c r="C112" t="s">
        <v>28</v>
      </c>
      <c r="D112">
        <v>13</v>
      </c>
      <c r="E112" s="1">
        <v>1</v>
      </c>
      <c r="F112" t="s">
        <v>247</v>
      </c>
      <c r="G112">
        <v>1.0455665920150181</v>
      </c>
      <c r="H112">
        <v>1.1314053809765467</v>
      </c>
      <c r="I112">
        <v>1.4597230464302198</v>
      </c>
      <c r="J112">
        <v>1.2993913818515466</v>
      </c>
      <c r="K112">
        <f t="shared" si="2"/>
        <v>1.2340216003183329</v>
      </c>
      <c r="L112">
        <v>4.7803772578817449</v>
      </c>
      <c r="M112">
        <v>1.2821509031526981</v>
      </c>
      <c r="N112">
        <v>1.3405741502583441E-2</v>
      </c>
      <c r="O112">
        <v>3.5703564483078196</v>
      </c>
      <c r="P112">
        <v>0.79814257932312793</v>
      </c>
      <c r="Q112">
        <v>1.1650671173752297E-2</v>
      </c>
      <c r="R112">
        <f t="shared" si="3"/>
        <v>25.056412676335739</v>
      </c>
    </row>
    <row r="113" spans="1:18">
      <c r="A113" t="s">
        <v>248</v>
      </c>
      <c r="B113" t="s">
        <v>146</v>
      </c>
      <c r="C113" t="s">
        <v>31</v>
      </c>
      <c r="D113">
        <v>13</v>
      </c>
      <c r="E113" s="1">
        <v>1</v>
      </c>
      <c r="F113" t="s">
        <v>249</v>
      </c>
      <c r="G113">
        <v>1.3287927810423521</v>
      </c>
      <c r="H113">
        <v>1.2240062293175731</v>
      </c>
      <c r="I113">
        <v>1.2565935819702327</v>
      </c>
      <c r="J113">
        <v>1.2152181764680992</v>
      </c>
      <c r="K113">
        <f t="shared" si="2"/>
        <v>1.2561526921995643</v>
      </c>
      <c r="L113">
        <v>4.1627505482565734</v>
      </c>
      <c r="M113">
        <v>1.0351002193026293</v>
      </c>
      <c r="N113">
        <v>1.3754336990646893E-2</v>
      </c>
      <c r="O113">
        <v>3.4858995827020789</v>
      </c>
      <c r="P113">
        <v>0.76435983308083155</v>
      </c>
      <c r="Q113">
        <v>9.6048966056521135E-3</v>
      </c>
      <c r="R113">
        <f t="shared" si="3"/>
        <v>23.359233596299006</v>
      </c>
    </row>
    <row r="114" spans="1:18">
      <c r="A114" t="s">
        <v>250</v>
      </c>
      <c r="B114" t="s">
        <v>146</v>
      </c>
      <c r="C114" t="s">
        <v>22</v>
      </c>
      <c r="D114">
        <v>14</v>
      </c>
      <c r="E114" s="1">
        <v>1</v>
      </c>
      <c r="F114" t="s">
        <v>251</v>
      </c>
      <c r="G114">
        <v>1.3283221487077894</v>
      </c>
      <c r="H114">
        <v>1.3972776587528484</v>
      </c>
      <c r="I114">
        <v>1.2682124270774113</v>
      </c>
      <c r="J114">
        <v>1.3422294216722472</v>
      </c>
      <c r="K114">
        <f t="shared" si="2"/>
        <v>1.3340104140525741</v>
      </c>
      <c r="L114">
        <v>4.0643055176953551</v>
      </c>
      <c r="M114">
        <v>0.99572220707814207</v>
      </c>
      <c r="N114">
        <v>1.3226398616221002E-2</v>
      </c>
      <c r="O114">
        <v>3.574021516731587</v>
      </c>
      <c r="P114">
        <v>0.79960860669263478</v>
      </c>
      <c r="Q114">
        <v>1.0140735718056536E-2</v>
      </c>
      <c r="R114">
        <f t="shared" si="3"/>
        <v>23.367134334277537</v>
      </c>
    </row>
    <row r="115" spans="1:18">
      <c r="A115" t="s">
        <v>250</v>
      </c>
      <c r="B115" t="s">
        <v>146</v>
      </c>
      <c r="C115" t="s">
        <v>25</v>
      </c>
      <c r="D115">
        <v>14</v>
      </c>
      <c r="E115" s="1">
        <v>1</v>
      </c>
      <c r="F115" t="s">
        <v>252</v>
      </c>
      <c r="G115">
        <v>1.3536068271431076</v>
      </c>
      <c r="H115">
        <v>1.233721550335517</v>
      </c>
      <c r="I115">
        <v>1.0486458221593691</v>
      </c>
      <c r="J115">
        <v>1.2449344969236673</v>
      </c>
      <c r="K115">
        <f t="shared" si="2"/>
        <v>1.2202271741404154</v>
      </c>
      <c r="L115">
        <v>4.1195020746887954</v>
      </c>
      <c r="M115">
        <v>1.0178008298755183</v>
      </c>
      <c r="N115">
        <v>1.3777021519914221E-2</v>
      </c>
      <c r="O115">
        <v>3.5798633518058871</v>
      </c>
      <c r="P115">
        <v>0.80194534072235502</v>
      </c>
      <c r="Q115">
        <v>8.4095663114866926E-3</v>
      </c>
      <c r="R115">
        <f t="shared" si="3"/>
        <v>22.186587831400914</v>
      </c>
    </row>
    <row r="116" spans="1:18">
      <c r="A116" t="s">
        <v>253</v>
      </c>
      <c r="B116" t="s">
        <v>146</v>
      </c>
      <c r="C116" t="s">
        <v>28</v>
      </c>
      <c r="D116">
        <v>14</v>
      </c>
      <c r="E116" s="1">
        <v>1</v>
      </c>
      <c r="F116" t="s">
        <v>254</v>
      </c>
      <c r="G116">
        <v>1.3429449927682924</v>
      </c>
      <c r="H116">
        <v>1.2691746864975211</v>
      </c>
      <c r="I116">
        <v>1.0019290020943357</v>
      </c>
      <c r="J116">
        <v>1.1484566179008899</v>
      </c>
      <c r="K116">
        <f t="shared" si="2"/>
        <v>1.1906263248152598</v>
      </c>
      <c r="L116">
        <v>3.6842631140715878</v>
      </c>
      <c r="M116">
        <v>0.84370524562863525</v>
      </c>
      <c r="N116">
        <v>1.1330497349893179E-2</v>
      </c>
      <c r="O116">
        <v>4.9146125234965261</v>
      </c>
      <c r="P116">
        <v>1.3358450093986107</v>
      </c>
      <c r="Q116">
        <v>1.3384218572194486E-2</v>
      </c>
      <c r="R116">
        <f t="shared" si="3"/>
        <v>24.714715922087663</v>
      </c>
    </row>
    <row r="117" spans="1:18">
      <c r="A117" t="s">
        <v>255</v>
      </c>
      <c r="B117" t="s">
        <v>146</v>
      </c>
      <c r="C117" t="s">
        <v>31</v>
      </c>
      <c r="D117">
        <v>14</v>
      </c>
      <c r="E117" s="1">
        <v>1</v>
      </c>
      <c r="F117" t="s">
        <v>256</v>
      </c>
      <c r="G117">
        <v>1.357660563645642</v>
      </c>
      <c r="H117">
        <v>1.3820109756621628</v>
      </c>
      <c r="I117">
        <v>1.3296623136456149</v>
      </c>
      <c r="J117">
        <v>1.1954498688538822</v>
      </c>
      <c r="K117">
        <f t="shared" si="2"/>
        <v>1.3161959304518256</v>
      </c>
      <c r="L117">
        <v>3.460836674080662</v>
      </c>
      <c r="M117">
        <v>0.75433466963226492</v>
      </c>
      <c r="N117">
        <v>1.0241304327503899E-2</v>
      </c>
      <c r="O117">
        <v>3.5538170380637868</v>
      </c>
      <c r="P117">
        <v>0.79152681522551471</v>
      </c>
      <c r="Q117">
        <v>1.0524633764453031E-2</v>
      </c>
      <c r="R117">
        <f t="shared" si="3"/>
        <v>20.765938091956929</v>
      </c>
    </row>
    <row r="118" spans="1:18">
      <c r="A118" t="s">
        <v>257</v>
      </c>
      <c r="B118" t="s">
        <v>146</v>
      </c>
      <c r="C118" t="s">
        <v>22</v>
      </c>
      <c r="D118">
        <v>15</v>
      </c>
      <c r="E118" s="1">
        <v>1</v>
      </c>
      <c r="F118" t="s">
        <v>258</v>
      </c>
      <c r="G118">
        <v>1.2299599907841792</v>
      </c>
      <c r="H118">
        <v>1.1982684141735125</v>
      </c>
      <c r="I118">
        <v>0.94459933540678365</v>
      </c>
      <c r="J118">
        <v>0.89186576962219177</v>
      </c>
      <c r="K118">
        <f t="shared" si="2"/>
        <v>1.0661733774966669</v>
      </c>
      <c r="L118">
        <v>4.3612872884510896</v>
      </c>
      <c r="M118">
        <v>1.1145149153804361</v>
      </c>
      <c r="N118">
        <v>1.3708087550501515E-2</v>
      </c>
      <c r="O118">
        <v>3.5602521955108033</v>
      </c>
      <c r="P118">
        <v>0.7941008782043214</v>
      </c>
      <c r="Q118">
        <v>7.5010716179774528E-3</v>
      </c>
      <c r="R118">
        <f t="shared" si="3"/>
        <v>21.209159168478969</v>
      </c>
    </row>
    <row r="119" spans="1:18">
      <c r="A119" t="s">
        <v>259</v>
      </c>
      <c r="B119" t="s">
        <v>146</v>
      </c>
      <c r="C119" t="s">
        <v>25</v>
      </c>
      <c r="D119">
        <v>15</v>
      </c>
      <c r="E119" s="1">
        <v>1</v>
      </c>
      <c r="F119" t="s">
        <v>260</v>
      </c>
      <c r="G119">
        <v>1.054617079251795</v>
      </c>
      <c r="H119">
        <v>1.1845500939679128</v>
      </c>
      <c r="I119">
        <v>1.0553221529723482</v>
      </c>
      <c r="J119">
        <v>0.94387501649782835</v>
      </c>
      <c r="K119">
        <f t="shared" si="2"/>
        <v>1.0595910856724711</v>
      </c>
      <c r="L119">
        <v>3.5031992836741854</v>
      </c>
      <c r="M119">
        <v>0.77127971346967417</v>
      </c>
      <c r="N119">
        <v>8.1340475870554912E-3</v>
      </c>
      <c r="O119">
        <v>3.8903689405107258</v>
      </c>
      <c r="P119">
        <v>0.92614757620429045</v>
      </c>
      <c r="Q119">
        <v>9.7738405409003373E-3</v>
      </c>
      <c r="R119">
        <f t="shared" si="3"/>
        <v>17.907888127955829</v>
      </c>
    </row>
    <row r="120" spans="1:18">
      <c r="A120" t="s">
        <v>261</v>
      </c>
      <c r="B120" t="s">
        <v>146</v>
      </c>
      <c r="C120" t="s">
        <v>28</v>
      </c>
      <c r="D120">
        <v>15</v>
      </c>
      <c r="E120" s="1">
        <v>1</v>
      </c>
      <c r="F120" t="s">
        <v>262</v>
      </c>
      <c r="G120">
        <v>1.392884507109402</v>
      </c>
      <c r="H120">
        <v>1.3537170495857747</v>
      </c>
      <c r="I120">
        <v>1.3948790084529021</v>
      </c>
      <c r="J120">
        <v>1.1622624162355908</v>
      </c>
      <c r="K120">
        <f t="shared" si="2"/>
        <v>1.3259357453459175</v>
      </c>
      <c r="L120">
        <v>3.3858110801116017</v>
      </c>
      <c r="M120">
        <v>0.72432443204464081</v>
      </c>
      <c r="N120">
        <v>1.008900279515797E-2</v>
      </c>
      <c r="O120">
        <v>3.8745962580499387</v>
      </c>
      <c r="P120">
        <v>0.91983850321997551</v>
      </c>
      <c r="Q120">
        <v>1.2830634193082811E-2</v>
      </c>
      <c r="R120">
        <f t="shared" si="3"/>
        <v>22.919636988240782</v>
      </c>
    </row>
    <row r="121" spans="1:18">
      <c r="A121" t="s">
        <v>263</v>
      </c>
      <c r="B121" t="s">
        <v>146</v>
      </c>
      <c r="C121" t="s">
        <v>31</v>
      </c>
      <c r="D121">
        <v>15</v>
      </c>
      <c r="E121" s="1">
        <v>1</v>
      </c>
      <c r="F121" t="s">
        <v>264</v>
      </c>
      <c r="G121">
        <v>1.4384046263683357</v>
      </c>
      <c r="H121">
        <v>1.3932851569406841</v>
      </c>
      <c r="I121">
        <v>1.2645418447803385</v>
      </c>
      <c r="J121">
        <v>1.3931049519947365</v>
      </c>
      <c r="K121">
        <f t="shared" si="2"/>
        <v>1.3723341450210236</v>
      </c>
      <c r="L121">
        <v>3.7461899881540162</v>
      </c>
      <c r="M121">
        <v>0.86847599526160646</v>
      </c>
      <c r="N121">
        <v>1.2492198894741395E-2</v>
      </c>
      <c r="O121">
        <v>3.7461899881540162</v>
      </c>
      <c r="P121">
        <v>0.86847599526160646</v>
      </c>
      <c r="Q121">
        <v>1.2492198894741395E-2</v>
      </c>
      <c r="R121">
        <f t="shared" si="3"/>
        <v>24.984397789482792</v>
      </c>
    </row>
    <row r="122" spans="1:18">
      <c r="A122" t="s">
        <v>265</v>
      </c>
      <c r="B122" t="s">
        <v>266</v>
      </c>
      <c r="C122" t="s">
        <v>22</v>
      </c>
      <c r="D122">
        <v>1</v>
      </c>
      <c r="E122" s="1">
        <v>2</v>
      </c>
      <c r="F122" s="1" t="s">
        <v>267</v>
      </c>
      <c r="G122">
        <v>1.3643491413966953</v>
      </c>
      <c r="H122">
        <v>1.3061411942929708</v>
      </c>
      <c r="I122">
        <v>1.291847267997887</v>
      </c>
      <c r="J122">
        <v>1.3014821091370579</v>
      </c>
      <c r="K122">
        <f t="shared" si="2"/>
        <v>1.3159549282061527</v>
      </c>
      <c r="L122">
        <v>1.9348788547660447</v>
      </c>
      <c r="M122">
        <v>0.1439515419064179</v>
      </c>
      <c r="N122">
        <v>1.9640016260275167E-3</v>
      </c>
      <c r="O122">
        <v>1.873866873866912</v>
      </c>
      <c r="P122">
        <v>0.11954674954676481</v>
      </c>
      <c r="Q122">
        <v>1.5443614180001574E-3</v>
      </c>
      <c r="R122">
        <f t="shared" si="3"/>
        <v>3.5083630440276745</v>
      </c>
    </row>
    <row r="123" spans="1:18">
      <c r="A123" t="s">
        <v>268</v>
      </c>
      <c r="B123" t="s">
        <v>266</v>
      </c>
      <c r="C123" t="s">
        <v>25</v>
      </c>
      <c r="D123">
        <v>1</v>
      </c>
      <c r="E123" s="1">
        <v>2</v>
      </c>
      <c r="F123" s="1" t="s">
        <v>269</v>
      </c>
      <c r="G123">
        <v>1.0407815383532</v>
      </c>
      <c r="H123">
        <v>1.1618285247152504</v>
      </c>
      <c r="I123">
        <v>1.2073328979109457</v>
      </c>
      <c r="J123">
        <v>1.3303079022383792</v>
      </c>
      <c r="K123">
        <f t="shared" si="2"/>
        <v>1.1850627158044438</v>
      </c>
      <c r="L123">
        <v>2.1017292126563683</v>
      </c>
      <c r="M123">
        <v>0.21069168506254732</v>
      </c>
      <c r="N123">
        <v>2.1928401609762594E-3</v>
      </c>
      <c r="O123">
        <v>1.9306212551245931</v>
      </c>
      <c r="P123">
        <v>0.1422485020498373</v>
      </c>
      <c r="Q123">
        <v>1.7174129620332115E-3</v>
      </c>
      <c r="R123">
        <f t="shared" si="3"/>
        <v>3.9102531230094715</v>
      </c>
    </row>
    <row r="124" spans="1:18">
      <c r="A124" t="s">
        <v>270</v>
      </c>
      <c r="B124" t="s">
        <v>266</v>
      </c>
      <c r="C124" t="s">
        <v>28</v>
      </c>
      <c r="D124">
        <v>1</v>
      </c>
      <c r="E124" s="1">
        <v>2</v>
      </c>
      <c r="F124" s="1" t="s">
        <v>271</v>
      </c>
      <c r="G124">
        <v>1.5280697086967368</v>
      </c>
      <c r="H124">
        <v>1.5879117472520661</v>
      </c>
      <c r="I124">
        <v>1.3069197496419682</v>
      </c>
      <c r="J124">
        <v>1.5115485892347444</v>
      </c>
      <c r="K124">
        <f t="shared" si="2"/>
        <v>1.4836124487063787</v>
      </c>
      <c r="L124">
        <v>1.8062807125307194</v>
      </c>
      <c r="M124">
        <v>9.2512285012287809E-2</v>
      </c>
      <c r="N124">
        <v>1.4136522040959613E-3</v>
      </c>
      <c r="O124">
        <v>1.9277412038932649</v>
      </c>
      <c r="P124">
        <v>0.14109648155730603</v>
      </c>
      <c r="Q124">
        <v>1.8440177835223697E-3</v>
      </c>
      <c r="R124">
        <f t="shared" si="3"/>
        <v>3.257669987618331</v>
      </c>
    </row>
    <row r="125" spans="1:18">
      <c r="A125" t="s">
        <v>272</v>
      </c>
      <c r="B125" t="s">
        <v>266</v>
      </c>
      <c r="C125" t="s">
        <v>31</v>
      </c>
      <c r="D125">
        <v>1</v>
      </c>
      <c r="E125" s="1">
        <v>2</v>
      </c>
      <c r="F125" s="1" t="s">
        <v>273</v>
      </c>
      <c r="G125">
        <v>1.3347727859476883</v>
      </c>
      <c r="H125">
        <v>1.3545235979360846</v>
      </c>
      <c r="I125">
        <v>1.5317245449305712</v>
      </c>
      <c r="J125">
        <v>1.2661899327325989</v>
      </c>
      <c r="K125">
        <f t="shared" si="2"/>
        <v>1.3718027153867358</v>
      </c>
      <c r="L125">
        <v>1.8873693935175337</v>
      </c>
      <c r="M125">
        <v>0.12494775740701358</v>
      </c>
      <c r="N125">
        <v>1.6677686625207542E-3</v>
      </c>
      <c r="O125">
        <v>2.0327263163971798</v>
      </c>
      <c r="P125">
        <v>0.18309052655887192</v>
      </c>
      <c r="Q125">
        <v>2.8044425347448676E-3</v>
      </c>
      <c r="R125">
        <f t="shared" si="3"/>
        <v>4.4722111972656213</v>
      </c>
    </row>
    <row r="126" spans="1:18">
      <c r="A126" t="s">
        <v>274</v>
      </c>
      <c r="B126" t="s">
        <v>266</v>
      </c>
      <c r="C126" t="s">
        <v>22</v>
      </c>
      <c r="D126">
        <v>2</v>
      </c>
      <c r="E126" s="1">
        <v>2</v>
      </c>
      <c r="F126" s="1" t="s">
        <v>275</v>
      </c>
      <c r="G126">
        <v>1.3138392696538481</v>
      </c>
      <c r="H126">
        <v>1.4827053005076027</v>
      </c>
      <c r="I126">
        <v>1.2288840097962384</v>
      </c>
      <c r="J126">
        <v>1.4062721599870007</v>
      </c>
      <c r="K126">
        <f t="shared" si="2"/>
        <v>1.3579251849861724</v>
      </c>
      <c r="L126">
        <v>2.0224442776152634</v>
      </c>
      <c r="M126">
        <v>0.17897771104610538</v>
      </c>
      <c r="N126">
        <v>2.3514794516513253E-3</v>
      </c>
      <c r="O126">
        <v>2.00528636666973</v>
      </c>
      <c r="P126">
        <v>0.17211454666789205</v>
      </c>
      <c r="Q126">
        <v>2.11508814253501E-3</v>
      </c>
      <c r="R126">
        <f t="shared" si="3"/>
        <v>4.4665675941863352</v>
      </c>
    </row>
    <row r="127" spans="1:18">
      <c r="A127" t="s">
        <v>276</v>
      </c>
      <c r="B127" t="s">
        <v>266</v>
      </c>
      <c r="C127" t="s">
        <v>25</v>
      </c>
      <c r="D127">
        <v>2</v>
      </c>
      <c r="E127" s="1">
        <v>2</v>
      </c>
      <c r="F127" s="1" t="s">
        <v>277</v>
      </c>
      <c r="G127">
        <v>1.3603986290864998</v>
      </c>
      <c r="H127">
        <v>1.1403876352726248</v>
      </c>
      <c r="I127">
        <v>1.1963718883346055</v>
      </c>
      <c r="J127">
        <v>1.2457375461488138</v>
      </c>
      <c r="K127">
        <f t="shared" si="2"/>
        <v>1.235723924710636</v>
      </c>
      <c r="L127">
        <v>2.101542416452419</v>
      </c>
      <c r="M127">
        <v>0.21061696658096762</v>
      </c>
      <c r="N127">
        <v>2.8652303259910548E-3</v>
      </c>
      <c r="O127">
        <v>2.027819568044444</v>
      </c>
      <c r="P127">
        <v>0.18112782721777765</v>
      </c>
      <c r="Q127">
        <v>2.1669624067847679E-3</v>
      </c>
      <c r="R127">
        <f t="shared" si="3"/>
        <v>5.0321927327758225</v>
      </c>
    </row>
    <row r="128" spans="1:18">
      <c r="A128" t="s">
        <v>278</v>
      </c>
      <c r="B128" t="s">
        <v>266</v>
      </c>
      <c r="C128" t="s">
        <v>28</v>
      </c>
      <c r="D128">
        <v>2</v>
      </c>
      <c r="E128" s="1">
        <v>2</v>
      </c>
      <c r="F128" s="1" t="s">
        <v>279</v>
      </c>
      <c r="G128">
        <v>1.374547341687276</v>
      </c>
      <c r="H128">
        <v>1.3928320202319417</v>
      </c>
      <c r="I128">
        <v>1.3772294211255089</v>
      </c>
      <c r="J128">
        <v>1.5133768821329527</v>
      </c>
      <c r="K128">
        <f t="shared" si="2"/>
        <v>1.4144964162944198</v>
      </c>
      <c r="L128">
        <v>1.9110089610825796</v>
      </c>
      <c r="M128">
        <v>0.13440358443303191</v>
      </c>
      <c r="N128">
        <v>1.8474408969566536E-3</v>
      </c>
      <c r="O128">
        <v>1.9166570737884172</v>
      </c>
      <c r="P128">
        <v>0.1366628295153669</v>
      </c>
      <c r="Q128">
        <v>1.8821606958282287E-3</v>
      </c>
      <c r="R128">
        <f t="shared" si="3"/>
        <v>3.7296015927848822</v>
      </c>
    </row>
    <row r="129" spans="1:18">
      <c r="A129" t="s">
        <v>280</v>
      </c>
      <c r="B129" t="s">
        <v>266</v>
      </c>
      <c r="C129" t="s">
        <v>31</v>
      </c>
      <c r="D129">
        <v>2</v>
      </c>
      <c r="E129" s="1">
        <v>2</v>
      </c>
      <c r="F129" s="1" t="s">
        <v>281</v>
      </c>
      <c r="G129">
        <v>1.4132249216879385</v>
      </c>
      <c r="H129">
        <v>1.5010564624303853</v>
      </c>
      <c r="I129">
        <v>1.1325286001542019</v>
      </c>
      <c r="J129">
        <v>1.0795780886094399</v>
      </c>
      <c r="K129">
        <f t="shared" si="2"/>
        <v>1.2815970182204914</v>
      </c>
      <c r="L129">
        <v>1.9943677577212298</v>
      </c>
      <c r="M129">
        <v>0.16774710308849194</v>
      </c>
      <c r="N129">
        <v>2.3706438662561258E-3</v>
      </c>
      <c r="O129">
        <v>2.2223519946014765</v>
      </c>
      <c r="P129">
        <v>0.25894079784059065</v>
      </c>
      <c r="Q129">
        <v>2.9325785930121627E-3</v>
      </c>
      <c r="R129">
        <f t="shared" si="3"/>
        <v>5.3032224592682882</v>
      </c>
    </row>
    <row r="130" spans="1:18">
      <c r="A130" t="s">
        <v>282</v>
      </c>
      <c r="B130" t="s">
        <v>266</v>
      </c>
      <c r="C130" t="s">
        <v>22</v>
      </c>
      <c r="D130">
        <v>3</v>
      </c>
      <c r="E130" s="1">
        <v>2</v>
      </c>
      <c r="F130" s="1" t="s">
        <v>283</v>
      </c>
      <c r="G130">
        <v>1.3696695612086109</v>
      </c>
      <c r="H130">
        <v>1.413363137131918</v>
      </c>
      <c r="I130">
        <v>1.3447697865413368</v>
      </c>
      <c r="J130">
        <v>1.4399512396908394</v>
      </c>
      <c r="K130">
        <f t="shared" si="2"/>
        <v>1.3919384311431762</v>
      </c>
      <c r="L130">
        <v>2.1110111782089156</v>
      </c>
      <c r="M130">
        <v>0.21440447128356632</v>
      </c>
      <c r="N130">
        <v>2.9366327810412653E-3</v>
      </c>
      <c r="O130">
        <v>2.1403899144878844</v>
      </c>
      <c r="P130">
        <v>0.22615596579515385</v>
      </c>
      <c r="Q130">
        <v>3.0412770984739892E-3</v>
      </c>
      <c r="R130">
        <f t="shared" si="3"/>
        <v>5.9779098795152539</v>
      </c>
    </row>
    <row r="131" spans="1:18">
      <c r="A131" t="s">
        <v>284</v>
      </c>
      <c r="B131" t="s">
        <v>266</v>
      </c>
      <c r="C131" t="s">
        <v>25</v>
      </c>
      <c r="D131">
        <v>3</v>
      </c>
      <c r="E131" s="1">
        <v>2</v>
      </c>
      <c r="F131" s="1" t="s">
        <v>285</v>
      </c>
      <c r="G131">
        <v>1.2093956321951445</v>
      </c>
      <c r="H131">
        <v>1.5747392905720554</v>
      </c>
      <c r="I131">
        <v>1.4260807075406037</v>
      </c>
      <c r="J131">
        <v>1.2910074779585186</v>
      </c>
      <c r="K131">
        <f t="shared" ref="K131:K181" si="4">AVERAGE(G131:J131)</f>
        <v>1.3753057770665806</v>
      </c>
      <c r="L131">
        <v>1.9991015274033908</v>
      </c>
      <c r="M131">
        <v>0.1696406109613563</v>
      </c>
      <c r="N131">
        <v>2.0516261393958004E-3</v>
      </c>
      <c r="O131">
        <v>1.9744915276363673</v>
      </c>
      <c r="P131">
        <v>0.1597966110545469</v>
      </c>
      <c r="Q131">
        <v>2.2788286415525889E-3</v>
      </c>
      <c r="R131">
        <f t="shared" ref="R131:R181" si="5">(N131+Q131)*1000</f>
        <v>4.3304547809483891</v>
      </c>
    </row>
    <row r="132" spans="1:18">
      <c r="A132" t="s">
        <v>286</v>
      </c>
      <c r="B132" t="s">
        <v>266</v>
      </c>
      <c r="C132" t="s">
        <v>28</v>
      </c>
      <c r="D132">
        <v>3</v>
      </c>
      <c r="E132" s="1">
        <v>2</v>
      </c>
      <c r="F132" s="1" t="s">
        <v>287</v>
      </c>
      <c r="G132">
        <v>1.2840599649453268</v>
      </c>
      <c r="H132">
        <v>1.2458757615927931</v>
      </c>
      <c r="I132">
        <v>1.3948335198257698</v>
      </c>
      <c r="J132">
        <v>1.3930314703662914</v>
      </c>
      <c r="K132">
        <f t="shared" si="4"/>
        <v>1.3294501791825453</v>
      </c>
      <c r="L132">
        <v>2.0154031131186447</v>
      </c>
      <c r="M132">
        <v>0.17616124524745791</v>
      </c>
      <c r="N132">
        <v>2.2620160239717594E-3</v>
      </c>
      <c r="O132">
        <v>1.8916824578197471</v>
      </c>
      <c r="P132">
        <v>0.12667298312789887</v>
      </c>
      <c r="Q132">
        <v>1.7668772292311751E-3</v>
      </c>
      <c r="R132">
        <f t="shared" si="5"/>
        <v>4.0288932532029351</v>
      </c>
    </row>
    <row r="133" spans="1:18">
      <c r="A133" t="s">
        <v>288</v>
      </c>
      <c r="B133" t="s">
        <v>266</v>
      </c>
      <c r="C133" t="s">
        <v>31</v>
      </c>
      <c r="D133">
        <v>3</v>
      </c>
      <c r="E133" s="1">
        <v>2</v>
      </c>
      <c r="F133" s="1" t="s">
        <v>289</v>
      </c>
      <c r="G133">
        <v>1.4275783331108107</v>
      </c>
      <c r="H133">
        <v>1.5478327676232071</v>
      </c>
      <c r="I133">
        <v>1.2153966318514646</v>
      </c>
      <c r="J133">
        <v>1.4306400676293414</v>
      </c>
      <c r="K133">
        <f t="shared" si="4"/>
        <v>1.405361950053706</v>
      </c>
      <c r="L133">
        <v>1.8586666860781</v>
      </c>
      <c r="M133">
        <v>0.11346667443124003</v>
      </c>
      <c r="N133">
        <v>1.6198256594817668E-3</v>
      </c>
      <c r="O133">
        <v>1.9314511383400061</v>
      </c>
      <c r="P133">
        <v>0.1425804553360025</v>
      </c>
      <c r="Q133">
        <v>1.7329180518322563E-3</v>
      </c>
      <c r="R133">
        <f t="shared" si="5"/>
        <v>3.3527437113140235</v>
      </c>
    </row>
    <row r="134" spans="1:18">
      <c r="A134" t="s">
        <v>290</v>
      </c>
      <c r="B134" t="s">
        <v>266</v>
      </c>
      <c r="C134" t="s">
        <v>22</v>
      </c>
      <c r="D134">
        <v>4</v>
      </c>
      <c r="E134" s="1">
        <v>3</v>
      </c>
      <c r="F134" s="1" t="s">
        <v>291</v>
      </c>
      <c r="G134">
        <v>0.83762058176673659</v>
      </c>
      <c r="H134">
        <v>0.88200348534735873</v>
      </c>
      <c r="I134">
        <v>1.0949252515788981</v>
      </c>
      <c r="J134">
        <v>1.1483009068310905</v>
      </c>
      <c r="K134">
        <f t="shared" si="4"/>
        <v>0.99071255638102096</v>
      </c>
      <c r="L134">
        <v>2.209717354255766</v>
      </c>
      <c r="M134">
        <v>0.25388694170230641</v>
      </c>
      <c r="N134">
        <v>2.1266092781166345E-3</v>
      </c>
      <c r="O134">
        <v>3.7728556753980458</v>
      </c>
      <c r="P134">
        <v>0.87914227015921831</v>
      </c>
      <c r="Q134">
        <v>9.6259507132772579E-3</v>
      </c>
      <c r="R134">
        <f t="shared" si="5"/>
        <v>11.752559991393893</v>
      </c>
    </row>
    <row r="135" spans="1:18">
      <c r="A135" t="s">
        <v>292</v>
      </c>
      <c r="B135" t="s">
        <v>266</v>
      </c>
      <c r="C135" t="s">
        <v>25</v>
      </c>
      <c r="D135">
        <v>4</v>
      </c>
      <c r="E135" s="1">
        <v>3</v>
      </c>
      <c r="F135" s="1" t="s">
        <v>293</v>
      </c>
      <c r="G135">
        <v>1.3756110757371427</v>
      </c>
      <c r="H135">
        <v>1.215232172968755</v>
      </c>
      <c r="I135">
        <v>1.2461521924807517</v>
      </c>
      <c r="J135">
        <v>1.2842979054564811</v>
      </c>
      <c r="K135">
        <f t="shared" si="4"/>
        <v>1.2803233366607827</v>
      </c>
      <c r="L135">
        <v>2.1202908129543729</v>
      </c>
      <c r="M135">
        <v>0.21811632518174917</v>
      </c>
      <c r="N135">
        <v>3.0004323271909839E-3</v>
      </c>
      <c r="O135">
        <v>1.9668562691923699</v>
      </c>
      <c r="P135">
        <v>0.15674250767694797</v>
      </c>
      <c r="Q135">
        <v>1.9532501959655976E-3</v>
      </c>
      <c r="R135">
        <f t="shared" si="5"/>
        <v>4.9536825231565818</v>
      </c>
    </row>
    <row r="136" spans="1:18">
      <c r="A136" t="s">
        <v>294</v>
      </c>
      <c r="B136" t="s">
        <v>266</v>
      </c>
      <c r="C136" t="s">
        <v>28</v>
      </c>
      <c r="D136">
        <v>4</v>
      </c>
      <c r="E136" s="1">
        <v>3</v>
      </c>
      <c r="F136" s="1" t="s">
        <v>295</v>
      </c>
      <c r="G136">
        <v>1.1136123295174281</v>
      </c>
      <c r="H136">
        <v>1.346892005953324</v>
      </c>
      <c r="I136">
        <v>1.2915008546066473</v>
      </c>
      <c r="J136">
        <v>1.3734328703225309</v>
      </c>
      <c r="K136">
        <f t="shared" si="4"/>
        <v>1.2813595150999826</v>
      </c>
      <c r="L136">
        <v>1.9270393846033143</v>
      </c>
      <c r="M136">
        <v>0.14081575384132572</v>
      </c>
      <c r="N136">
        <v>1.5681415966799146E-3</v>
      </c>
      <c r="O136">
        <v>1.9469757104302352</v>
      </c>
      <c r="P136">
        <v>0.14879028417209417</v>
      </c>
      <c r="Q136">
        <v>1.9216277916542551E-3</v>
      </c>
      <c r="R136">
        <f t="shared" si="5"/>
        <v>3.4897693883341696</v>
      </c>
    </row>
    <row r="137" spans="1:18">
      <c r="A137" t="s">
        <v>296</v>
      </c>
      <c r="B137" t="s">
        <v>266</v>
      </c>
      <c r="C137" t="s">
        <v>31</v>
      </c>
      <c r="D137">
        <v>4</v>
      </c>
      <c r="E137" s="1">
        <v>3</v>
      </c>
      <c r="F137" s="1" t="s">
        <v>297</v>
      </c>
      <c r="G137">
        <v>1.3140457180385261</v>
      </c>
      <c r="H137">
        <v>1.3684816082154208</v>
      </c>
      <c r="I137">
        <v>1.395633069925752</v>
      </c>
      <c r="J137">
        <v>1.2879947311922841</v>
      </c>
      <c r="K137">
        <f t="shared" si="4"/>
        <v>1.3415387818429958</v>
      </c>
      <c r="L137">
        <v>1.9955828995109368</v>
      </c>
      <c r="M137">
        <v>0.16823315980437481</v>
      </c>
      <c r="N137">
        <v>2.210660632730298E-3</v>
      </c>
      <c r="O137">
        <v>1.9796123587751739</v>
      </c>
      <c r="P137">
        <v>0.16184494351006962</v>
      </c>
      <c r="Q137">
        <v>2.2587615536291839E-3</v>
      </c>
      <c r="R137">
        <f t="shared" si="5"/>
        <v>4.4694221863594823</v>
      </c>
    </row>
    <row r="138" spans="1:18">
      <c r="A138" t="s">
        <v>298</v>
      </c>
      <c r="B138" t="s">
        <v>266</v>
      </c>
      <c r="C138" t="s">
        <v>22</v>
      </c>
      <c r="D138">
        <v>5</v>
      </c>
      <c r="E138" s="1">
        <v>3</v>
      </c>
      <c r="F138" s="1" t="s">
        <v>299</v>
      </c>
      <c r="G138">
        <v>1.249660065457697</v>
      </c>
      <c r="H138">
        <v>1.3091976801237553</v>
      </c>
      <c r="I138">
        <v>1.3097417940867626</v>
      </c>
      <c r="J138">
        <v>1.3345575897501001</v>
      </c>
      <c r="K138">
        <f t="shared" si="4"/>
        <v>1.3007892823545788</v>
      </c>
      <c r="L138">
        <v>2.0318223069540378</v>
      </c>
      <c r="M138">
        <v>0.18272892278161512</v>
      </c>
      <c r="N138">
        <v>2.2834903760428765E-3</v>
      </c>
      <c r="O138">
        <v>2.1416151969689095</v>
      </c>
      <c r="P138">
        <v>0.22664607878756382</v>
      </c>
      <c r="Q138">
        <v>2.9684784185395356E-3</v>
      </c>
      <c r="R138">
        <f t="shared" si="5"/>
        <v>5.2519687945824121</v>
      </c>
    </row>
    <row r="139" spans="1:18">
      <c r="A139" t="s">
        <v>300</v>
      </c>
      <c r="B139" t="s">
        <v>266</v>
      </c>
      <c r="C139" t="s">
        <v>25</v>
      </c>
      <c r="D139">
        <v>5</v>
      </c>
      <c r="E139" s="1">
        <v>3</v>
      </c>
      <c r="F139" s="1" t="s">
        <v>301</v>
      </c>
      <c r="G139">
        <v>1.0315945852350259</v>
      </c>
      <c r="H139">
        <v>1.1350339737716511</v>
      </c>
      <c r="I139">
        <v>1.1764496192131715</v>
      </c>
      <c r="J139">
        <v>1.2597357963675362</v>
      </c>
      <c r="K139">
        <f t="shared" si="4"/>
        <v>1.1507034936468461</v>
      </c>
      <c r="L139">
        <v>2.1648994682132399</v>
      </c>
      <c r="M139">
        <v>0.23595978728529599</v>
      </c>
      <c r="N139">
        <v>2.4341483889671984E-3</v>
      </c>
      <c r="O139">
        <v>2.0785465868143027</v>
      </c>
      <c r="P139">
        <v>0.20141863472572108</v>
      </c>
      <c r="Q139">
        <v>2.3695887612551142E-3</v>
      </c>
      <c r="R139">
        <f t="shared" si="5"/>
        <v>4.8037371502223127</v>
      </c>
    </row>
    <row r="140" spans="1:18">
      <c r="A140" t="s">
        <v>302</v>
      </c>
      <c r="B140" t="s">
        <v>266</v>
      </c>
      <c r="C140" t="s">
        <v>28</v>
      </c>
      <c r="D140">
        <v>5</v>
      </c>
      <c r="E140" s="1">
        <v>3</v>
      </c>
      <c r="F140" s="1" t="s">
        <v>303</v>
      </c>
      <c r="G140">
        <v>1.0187405489449426</v>
      </c>
      <c r="H140">
        <v>1.198210678608306</v>
      </c>
      <c r="I140">
        <v>1.2402456692038601</v>
      </c>
      <c r="J140">
        <v>1.2410679636174085</v>
      </c>
      <c r="K140">
        <f t="shared" si="4"/>
        <v>1.1745662150936294</v>
      </c>
      <c r="L140">
        <v>1.9522042065507432</v>
      </c>
      <c r="M140">
        <v>0.15088168262029733</v>
      </c>
      <c r="N140">
        <v>1.537092881783383E-3</v>
      </c>
      <c r="O140">
        <v>1.9477852001187874</v>
      </c>
      <c r="P140">
        <v>0.14911408004751503</v>
      </c>
      <c r="Q140">
        <v>1.8493809199624826E-3</v>
      </c>
      <c r="R140">
        <f t="shared" si="5"/>
        <v>3.3864738017458653</v>
      </c>
    </row>
    <row r="141" spans="1:18">
      <c r="A141" t="s">
        <v>304</v>
      </c>
      <c r="B141" t="s">
        <v>266</v>
      </c>
      <c r="C141" t="s">
        <v>31</v>
      </c>
      <c r="D141">
        <v>5</v>
      </c>
      <c r="E141" s="1">
        <v>3</v>
      </c>
      <c r="F141" s="1" t="s">
        <v>305</v>
      </c>
      <c r="G141">
        <v>1.0515763394842486</v>
      </c>
      <c r="H141">
        <v>1.4864178723066441</v>
      </c>
      <c r="I141">
        <v>0.98944062438389424</v>
      </c>
      <c r="J141">
        <v>1.3857690360883366</v>
      </c>
      <c r="K141">
        <f t="shared" si="4"/>
        <v>1.2283009680657808</v>
      </c>
      <c r="L141">
        <v>2.0458070287210735</v>
      </c>
      <c r="M141">
        <v>0.18832281148842944</v>
      </c>
      <c r="N141">
        <v>1.9803581274638483E-3</v>
      </c>
      <c r="O141">
        <v>2.1380744978222772</v>
      </c>
      <c r="P141">
        <v>0.22522979912891095</v>
      </c>
      <c r="Q141">
        <v>2.228515130799687E-3</v>
      </c>
      <c r="R141">
        <f t="shared" si="5"/>
        <v>4.2088732582635355</v>
      </c>
    </row>
    <row r="142" spans="1:18">
      <c r="A142" t="s">
        <v>306</v>
      </c>
      <c r="B142" t="s">
        <v>266</v>
      </c>
      <c r="C142" t="s">
        <v>22</v>
      </c>
      <c r="D142">
        <v>6</v>
      </c>
      <c r="E142" s="1">
        <v>3</v>
      </c>
      <c r="F142" s="1" t="s">
        <v>307</v>
      </c>
      <c r="G142">
        <v>1.1099697402216673</v>
      </c>
      <c r="H142">
        <v>1.1525873351570337</v>
      </c>
      <c r="I142">
        <v>0.86912145605596325</v>
      </c>
      <c r="J142">
        <v>0.91677254253979401</v>
      </c>
      <c r="K142">
        <f t="shared" si="4"/>
        <v>1.0121127684936146</v>
      </c>
      <c r="L142">
        <v>2.0096145758522801</v>
      </c>
      <c r="M142">
        <v>0.17384583034091206</v>
      </c>
      <c r="N142">
        <v>1.9296361114212221E-3</v>
      </c>
      <c r="O142">
        <v>2.3796803788493448</v>
      </c>
      <c r="P142">
        <v>0.32187215153973792</v>
      </c>
      <c r="Q142">
        <v>2.7974599301008266E-3</v>
      </c>
      <c r="R142">
        <f t="shared" si="5"/>
        <v>4.7270960415220493</v>
      </c>
    </row>
    <row r="143" spans="1:18">
      <c r="A143" t="s">
        <v>308</v>
      </c>
      <c r="B143" t="s">
        <v>266</v>
      </c>
      <c r="C143" t="s">
        <v>25</v>
      </c>
      <c r="D143">
        <v>6</v>
      </c>
      <c r="E143" s="1">
        <v>3</v>
      </c>
      <c r="F143" s="1" t="s">
        <v>309</v>
      </c>
      <c r="G143">
        <v>1.1083776382720314</v>
      </c>
      <c r="H143">
        <v>1.0618427727155277</v>
      </c>
      <c r="I143">
        <v>1.1691556928087401</v>
      </c>
      <c r="J143">
        <v>0.93338288969346894</v>
      </c>
      <c r="K143">
        <f t="shared" si="4"/>
        <v>1.0681897483724421</v>
      </c>
      <c r="L143">
        <v>2.1203245288887818</v>
      </c>
      <c r="M143">
        <v>0.2181298115555127</v>
      </c>
      <c r="N143">
        <v>2.4177020536862242E-3</v>
      </c>
      <c r="O143">
        <v>2.1100969657868083</v>
      </c>
      <c r="P143">
        <v>0.21403878631472339</v>
      </c>
      <c r="Q143">
        <v>2.5024466550173231E-3</v>
      </c>
      <c r="R143">
        <f t="shared" si="5"/>
        <v>4.9201487087035476</v>
      </c>
    </row>
    <row r="144" spans="1:18">
      <c r="A144" t="s">
        <v>310</v>
      </c>
      <c r="B144" t="s">
        <v>266</v>
      </c>
      <c r="C144" t="s">
        <v>28</v>
      </c>
      <c r="D144">
        <v>6</v>
      </c>
      <c r="E144" s="1">
        <v>3</v>
      </c>
      <c r="F144" s="1" t="s">
        <v>311</v>
      </c>
      <c r="G144">
        <v>1.4927058002264153</v>
      </c>
      <c r="H144">
        <v>1.3589744851447372</v>
      </c>
      <c r="I144">
        <v>1.3951151994014748</v>
      </c>
      <c r="J144">
        <v>1.2935128515759675</v>
      </c>
      <c r="K144">
        <f t="shared" si="4"/>
        <v>1.3850770840871487</v>
      </c>
      <c r="L144">
        <v>1.9412148922273147</v>
      </c>
      <c r="M144">
        <v>0.14648595689092592</v>
      </c>
      <c r="N144">
        <v>2.1866043750280173E-3</v>
      </c>
      <c r="O144">
        <v>1.9223948357806382</v>
      </c>
      <c r="P144">
        <v>0.13895793431225534</v>
      </c>
      <c r="Q144">
        <v>1.9386232623645912E-3</v>
      </c>
      <c r="R144">
        <f t="shared" si="5"/>
        <v>4.1252276373926087</v>
      </c>
    </row>
    <row r="145" spans="1:18">
      <c r="A145" t="s">
        <v>312</v>
      </c>
      <c r="B145" t="s">
        <v>266</v>
      </c>
      <c r="C145" t="s">
        <v>31</v>
      </c>
      <c r="D145">
        <v>6</v>
      </c>
      <c r="E145" s="1">
        <v>3</v>
      </c>
      <c r="F145" s="1" t="s">
        <v>313</v>
      </c>
      <c r="G145">
        <v>1.2989959807080107</v>
      </c>
      <c r="H145">
        <v>1.3867802832607428</v>
      </c>
      <c r="I145">
        <v>1.3159649881909992</v>
      </c>
      <c r="J145">
        <v>1.2653693878816328</v>
      </c>
      <c r="K145">
        <f t="shared" si="4"/>
        <v>1.3167776600103465</v>
      </c>
      <c r="L145">
        <v>1.891358089283584</v>
      </c>
      <c r="M145">
        <v>0.12654323571343362</v>
      </c>
      <c r="N145">
        <v>1.6437915457753667E-3</v>
      </c>
      <c r="O145">
        <v>2.0292355184311162</v>
      </c>
      <c r="P145">
        <v>0.18169420737244646</v>
      </c>
      <c r="Q145">
        <v>2.3910321545925449E-3</v>
      </c>
      <c r="R145">
        <f t="shared" si="5"/>
        <v>4.0348237003679115</v>
      </c>
    </row>
    <row r="146" spans="1:18">
      <c r="A146" t="s">
        <v>314</v>
      </c>
      <c r="B146" t="s">
        <v>266</v>
      </c>
      <c r="C146" t="s">
        <v>22</v>
      </c>
      <c r="D146">
        <v>7</v>
      </c>
      <c r="E146" s="1">
        <v>4</v>
      </c>
      <c r="F146" s="1" t="s">
        <v>315</v>
      </c>
      <c r="G146">
        <v>1.5059639854729443</v>
      </c>
      <c r="H146">
        <v>1.4252129244999228</v>
      </c>
      <c r="I146">
        <v>1.329282658565317</v>
      </c>
      <c r="J146">
        <v>1.2800744613834907</v>
      </c>
      <c r="K146">
        <f t="shared" si="4"/>
        <v>1.3851335074804187</v>
      </c>
      <c r="L146">
        <v>2.1843973455424583</v>
      </c>
      <c r="M146">
        <v>0.24375893821698336</v>
      </c>
      <c r="N146">
        <v>3.6709218209190144E-3</v>
      </c>
      <c r="O146">
        <v>2.1861025437252075</v>
      </c>
      <c r="P146">
        <v>0.24444101749008307</v>
      </c>
      <c r="Q146">
        <v>3.2493120559162875E-3</v>
      </c>
      <c r="R146">
        <f t="shared" si="5"/>
        <v>6.9202338768353018</v>
      </c>
    </row>
    <row r="147" spans="1:18">
      <c r="A147" t="s">
        <v>316</v>
      </c>
      <c r="B147" t="s">
        <v>266</v>
      </c>
      <c r="C147" t="s">
        <v>25</v>
      </c>
      <c r="D147">
        <v>7</v>
      </c>
      <c r="E147" s="1">
        <v>4</v>
      </c>
      <c r="F147" s="1" t="s">
        <v>317</v>
      </c>
      <c r="G147">
        <v>1.2878460183728127</v>
      </c>
      <c r="H147">
        <v>1.2792364209067042</v>
      </c>
      <c r="I147">
        <v>1.1760122285676671</v>
      </c>
      <c r="J147">
        <v>1.3013823840698828</v>
      </c>
      <c r="K147">
        <f t="shared" si="4"/>
        <v>1.2611192629792667</v>
      </c>
      <c r="L147">
        <v>2.1077679244792189</v>
      </c>
      <c r="M147">
        <v>0.21310716979168765</v>
      </c>
      <c r="N147">
        <v>2.7444922010292391E-3</v>
      </c>
      <c r="O147">
        <v>2.2274129231245738</v>
      </c>
      <c r="P147">
        <v>0.2609651692498296</v>
      </c>
      <c r="Q147">
        <v>3.0689823026803049E-3</v>
      </c>
      <c r="R147">
        <f t="shared" si="5"/>
        <v>5.8134745037095437</v>
      </c>
    </row>
    <row r="148" spans="1:18">
      <c r="A148" t="s">
        <v>318</v>
      </c>
      <c r="B148" t="s">
        <v>266</v>
      </c>
      <c r="C148" t="s">
        <v>28</v>
      </c>
      <c r="D148">
        <v>7</v>
      </c>
      <c r="E148" s="1">
        <v>4</v>
      </c>
      <c r="F148" s="1" t="s">
        <v>319</v>
      </c>
      <c r="G148">
        <v>1.2442399205786066</v>
      </c>
      <c r="H148">
        <v>1.3977972788397075</v>
      </c>
      <c r="I148">
        <v>1.2105188513727998</v>
      </c>
      <c r="J148">
        <v>1.1990119782708701</v>
      </c>
      <c r="K148">
        <f t="shared" si="4"/>
        <v>1.2628920072654961</v>
      </c>
      <c r="L148">
        <v>1.9710582003877697</v>
      </c>
      <c r="M148">
        <v>0.15842328015510787</v>
      </c>
      <c r="N148">
        <v>1.9711656951799375E-3</v>
      </c>
      <c r="O148">
        <v>2.1284097829919477</v>
      </c>
      <c r="P148">
        <v>0.22136391319677917</v>
      </c>
      <c r="Q148">
        <v>2.6796518993835328E-3</v>
      </c>
      <c r="R148">
        <f t="shared" si="5"/>
        <v>4.6508175945634704</v>
      </c>
    </row>
    <row r="149" spans="1:18">
      <c r="A149" t="s">
        <v>320</v>
      </c>
      <c r="B149" t="s">
        <v>266</v>
      </c>
      <c r="C149" t="s">
        <v>31</v>
      </c>
      <c r="D149">
        <v>7</v>
      </c>
      <c r="E149" s="1">
        <v>4</v>
      </c>
      <c r="F149" s="1" t="s">
        <v>321</v>
      </c>
      <c r="G149">
        <v>1.2768342714815939</v>
      </c>
      <c r="H149">
        <v>1.1727230509134738</v>
      </c>
      <c r="I149">
        <v>1.2972061781866067</v>
      </c>
      <c r="J149">
        <v>1.1750289743965732</v>
      </c>
      <c r="K149">
        <f t="shared" si="4"/>
        <v>1.2304481187445619</v>
      </c>
      <c r="L149">
        <v>2.1433954551841152</v>
      </c>
      <c r="M149">
        <v>0.22735818207364611</v>
      </c>
      <c r="N149">
        <v>2.9029871877338351E-3</v>
      </c>
      <c r="O149">
        <v>2.0304503908139901</v>
      </c>
      <c r="P149">
        <v>0.18218015632559614</v>
      </c>
      <c r="Q149">
        <v>2.3632522432856513E-3</v>
      </c>
      <c r="R149">
        <f t="shared" si="5"/>
        <v>5.2662394310194864</v>
      </c>
    </row>
    <row r="150" spans="1:18">
      <c r="A150" t="s">
        <v>322</v>
      </c>
      <c r="B150" t="s">
        <v>266</v>
      </c>
      <c r="C150" t="s">
        <v>22</v>
      </c>
      <c r="D150">
        <v>8</v>
      </c>
      <c r="E150" s="1">
        <v>4</v>
      </c>
      <c r="F150" s="1" t="s">
        <v>323</v>
      </c>
      <c r="G150">
        <v>1.1393064055969382</v>
      </c>
      <c r="H150">
        <v>1.1899212510947066</v>
      </c>
      <c r="I150">
        <v>1.1847512936648448</v>
      </c>
      <c r="J150">
        <v>1.1787292992575402</v>
      </c>
      <c r="K150">
        <f t="shared" si="4"/>
        <v>1.1731770624035074</v>
      </c>
      <c r="L150">
        <v>2.098205767598575</v>
      </c>
      <c r="M150">
        <v>0.20928230703943007</v>
      </c>
      <c r="N150">
        <v>2.3843667298812789E-3</v>
      </c>
      <c r="O150">
        <v>2.1513208381566793</v>
      </c>
      <c r="P150">
        <v>0.2305283352626718</v>
      </c>
      <c r="Q150">
        <v>2.7311874342885348E-3</v>
      </c>
      <c r="R150">
        <f t="shared" si="5"/>
        <v>5.1155541641698132</v>
      </c>
    </row>
    <row r="151" spans="1:18">
      <c r="A151" t="s">
        <v>324</v>
      </c>
      <c r="B151" t="s">
        <v>266</v>
      </c>
      <c r="C151" t="s">
        <v>25</v>
      </c>
      <c r="D151">
        <v>8</v>
      </c>
      <c r="E151" s="1">
        <v>4</v>
      </c>
      <c r="F151" s="1" t="s">
        <v>325</v>
      </c>
      <c r="G151">
        <v>1.09193000043848</v>
      </c>
      <c r="H151">
        <v>0.95743762563362866</v>
      </c>
      <c r="I151">
        <v>1.2471039545253693</v>
      </c>
      <c r="J151">
        <v>1.2985288474986119</v>
      </c>
      <c r="K151">
        <f t="shared" si="4"/>
        <v>1.1487501070240225</v>
      </c>
      <c r="L151">
        <v>2.648950354239108</v>
      </c>
      <c r="M151">
        <v>0.42958014169564318</v>
      </c>
      <c r="N151">
        <v>4.6907144431008775E-3</v>
      </c>
      <c r="O151">
        <v>2.2658958058863425</v>
      </c>
      <c r="P151">
        <v>0.27635832235453706</v>
      </c>
      <c r="Q151">
        <v>3.4464755667433992E-3</v>
      </c>
      <c r="R151">
        <f t="shared" si="5"/>
        <v>8.1371900098442769</v>
      </c>
    </row>
    <row r="152" spans="1:18">
      <c r="A152" t="s">
        <v>326</v>
      </c>
      <c r="B152" t="s">
        <v>266</v>
      </c>
      <c r="C152" t="s">
        <v>28</v>
      </c>
      <c r="D152">
        <v>8</v>
      </c>
      <c r="E152" s="1">
        <v>4</v>
      </c>
      <c r="F152" s="1" t="s">
        <v>327</v>
      </c>
      <c r="G152">
        <v>1.205061965679487</v>
      </c>
      <c r="H152">
        <v>0.98751610554367497</v>
      </c>
      <c r="I152">
        <v>1.3063896321796171</v>
      </c>
      <c r="J152">
        <v>1.194730798632673</v>
      </c>
      <c r="K152">
        <f t="shared" si="4"/>
        <v>1.173424625508863</v>
      </c>
      <c r="L152">
        <v>2.166026884060805</v>
      </c>
      <c r="M152">
        <v>0.23641075362432207</v>
      </c>
      <c r="N152">
        <v>2.8488960747029444E-3</v>
      </c>
      <c r="O152">
        <v>2.1476846379195309</v>
      </c>
      <c r="P152">
        <v>0.22907385516781242</v>
      </c>
      <c r="Q152">
        <v>2.9925970939464535E-3</v>
      </c>
      <c r="R152">
        <f t="shared" si="5"/>
        <v>5.8414931686493983</v>
      </c>
    </row>
    <row r="153" spans="1:18">
      <c r="A153" t="s">
        <v>328</v>
      </c>
      <c r="B153" t="s">
        <v>266</v>
      </c>
      <c r="C153" t="s">
        <v>31</v>
      </c>
      <c r="D153">
        <v>8</v>
      </c>
      <c r="E153" s="1">
        <v>4</v>
      </c>
      <c r="F153" s="1" t="s">
        <v>329</v>
      </c>
      <c r="G153">
        <v>1.2060924580402952</v>
      </c>
      <c r="H153">
        <v>1.2465965813765842</v>
      </c>
      <c r="I153">
        <v>1.2885108521539794</v>
      </c>
      <c r="J153">
        <v>1.4185278458740338</v>
      </c>
      <c r="K153">
        <f t="shared" si="4"/>
        <v>1.2899319343612232</v>
      </c>
      <c r="L153">
        <v>2.143224069654766</v>
      </c>
      <c r="M153">
        <v>0.22728962786190643</v>
      </c>
      <c r="N153">
        <v>2.7413230595503069E-3</v>
      </c>
      <c r="O153">
        <v>2.1417008276978806</v>
      </c>
      <c r="P153">
        <v>0.22668033107915231</v>
      </c>
      <c r="Q153">
        <v>2.9208006656534472E-3</v>
      </c>
      <c r="R153">
        <f t="shared" si="5"/>
        <v>5.6621237252037542</v>
      </c>
    </row>
    <row r="154" spans="1:18">
      <c r="A154" t="s">
        <v>330</v>
      </c>
      <c r="B154" t="s">
        <v>266</v>
      </c>
      <c r="C154" t="s">
        <v>22</v>
      </c>
      <c r="D154">
        <v>9</v>
      </c>
      <c r="E154" s="1">
        <v>4</v>
      </c>
      <c r="F154" s="1" t="s">
        <v>331</v>
      </c>
      <c r="G154">
        <v>1.0907962838853367</v>
      </c>
      <c r="H154">
        <v>1.0891446968079119</v>
      </c>
      <c r="I154">
        <v>1.2159267493138162</v>
      </c>
      <c r="J154">
        <v>1.2341799357320056</v>
      </c>
      <c r="K154">
        <f t="shared" si="4"/>
        <v>1.1575119164347676</v>
      </c>
      <c r="L154">
        <v>2.1673054896114365</v>
      </c>
      <c r="M154">
        <v>0.23692219584457463</v>
      </c>
      <c r="N154">
        <v>2.5843385079721594E-3</v>
      </c>
      <c r="O154">
        <v>2.1163190697613401</v>
      </c>
      <c r="P154">
        <v>0.21652762790453606</v>
      </c>
      <c r="Q154">
        <v>2.6328173473459406E-3</v>
      </c>
      <c r="R154">
        <f t="shared" si="5"/>
        <v>5.2171558553181008</v>
      </c>
    </row>
    <row r="155" spans="1:18">
      <c r="A155" t="s">
        <v>332</v>
      </c>
      <c r="B155" t="s">
        <v>266</v>
      </c>
      <c r="C155" t="s">
        <v>25</v>
      </c>
      <c r="D155">
        <v>9</v>
      </c>
      <c r="E155" s="1">
        <v>4</v>
      </c>
      <c r="F155" s="1" t="s">
        <v>333</v>
      </c>
      <c r="G155">
        <v>1.1499035061562186</v>
      </c>
      <c r="H155">
        <v>1.1377772879002548</v>
      </c>
      <c r="I155">
        <v>1.460249664767407</v>
      </c>
      <c r="J155">
        <v>1.3055550908279945</v>
      </c>
      <c r="K155">
        <f t="shared" si="4"/>
        <v>1.2633713874129686</v>
      </c>
      <c r="L155">
        <v>2.3638145554379859</v>
      </c>
      <c r="M155">
        <v>0.31552582217519443</v>
      </c>
      <c r="N155">
        <v>3.6282424920207963E-3</v>
      </c>
      <c r="O155">
        <v>2.397482836056176</v>
      </c>
      <c r="P155">
        <v>0.32899313442247047</v>
      </c>
      <c r="Q155">
        <v>4.80412114251191E-3</v>
      </c>
      <c r="R155">
        <f t="shared" si="5"/>
        <v>8.432363634532706</v>
      </c>
    </row>
    <row r="156" spans="1:18">
      <c r="A156" t="s">
        <v>334</v>
      </c>
      <c r="B156" t="s">
        <v>266</v>
      </c>
      <c r="C156" t="s">
        <v>28</v>
      </c>
      <c r="D156">
        <v>9</v>
      </c>
      <c r="E156" s="1">
        <v>4</v>
      </c>
      <c r="F156" s="1" t="s">
        <v>335</v>
      </c>
      <c r="G156">
        <v>1.4256258212692792</v>
      </c>
      <c r="H156">
        <v>1.3052261730625754</v>
      </c>
      <c r="I156">
        <v>1.3887065516635442</v>
      </c>
      <c r="J156">
        <v>1.2491002054314515</v>
      </c>
      <c r="K156">
        <f t="shared" si="4"/>
        <v>1.3421646878567126</v>
      </c>
      <c r="L156">
        <v>2.1189762060544011</v>
      </c>
      <c r="M156">
        <v>0.21759048242176049</v>
      </c>
      <c r="N156">
        <v>3.1020261020290097E-3</v>
      </c>
      <c r="O156">
        <v>2.0469899512590319</v>
      </c>
      <c r="P156">
        <v>0.18879598050361279</v>
      </c>
      <c r="Q156">
        <v>2.6218221505310982E-3</v>
      </c>
      <c r="R156">
        <f t="shared" si="5"/>
        <v>5.7238482525601082</v>
      </c>
    </row>
    <row r="157" spans="1:18">
      <c r="A157" t="s">
        <v>336</v>
      </c>
      <c r="B157" t="s">
        <v>266</v>
      </c>
      <c r="C157" t="s">
        <v>31</v>
      </c>
      <c r="D157">
        <v>9</v>
      </c>
      <c r="E157" s="1">
        <v>4</v>
      </c>
      <c r="F157" s="1" t="s">
        <v>337</v>
      </c>
      <c r="G157">
        <v>1.4242471659546494</v>
      </c>
      <c r="H157">
        <v>1.4031002030258026</v>
      </c>
      <c r="I157">
        <v>1.2985428439992683</v>
      </c>
      <c r="J157">
        <v>1.2185126028100379</v>
      </c>
      <c r="K157">
        <f t="shared" si="4"/>
        <v>1.3361007039474395</v>
      </c>
      <c r="L157">
        <v>2.034345934497745</v>
      </c>
      <c r="M157">
        <v>0.18373837379909808</v>
      </c>
      <c r="N157">
        <v>2.6168885816048146E-3</v>
      </c>
      <c r="O157">
        <v>2.1272412708398649</v>
      </c>
      <c r="P157">
        <v>0.22089650833594598</v>
      </c>
      <c r="Q157">
        <v>2.8684358016406739E-3</v>
      </c>
      <c r="R157">
        <f t="shared" si="5"/>
        <v>5.485324383245489</v>
      </c>
    </row>
    <row r="158" spans="1:18">
      <c r="A158" t="s">
        <v>338</v>
      </c>
      <c r="B158" t="s">
        <v>266</v>
      </c>
      <c r="C158" t="s">
        <v>22</v>
      </c>
      <c r="D158">
        <v>10</v>
      </c>
      <c r="E158" s="1">
        <v>5</v>
      </c>
      <c r="F158" s="1" t="s">
        <v>339</v>
      </c>
      <c r="K158" t="e">
        <f t="shared" si="4"/>
        <v>#DIV/0!</v>
      </c>
      <c r="R158">
        <f t="shared" si="5"/>
        <v>0</v>
      </c>
    </row>
    <row r="159" spans="1:18">
      <c r="A159" t="s">
        <v>340</v>
      </c>
      <c r="B159" t="s">
        <v>266</v>
      </c>
      <c r="C159" t="s">
        <v>25</v>
      </c>
      <c r="D159">
        <v>10</v>
      </c>
      <c r="E159" s="1">
        <v>5</v>
      </c>
      <c r="F159" s="1" t="s">
        <v>341</v>
      </c>
      <c r="K159" t="e">
        <f t="shared" si="4"/>
        <v>#DIV/0!</v>
      </c>
      <c r="R159">
        <f t="shared" si="5"/>
        <v>0</v>
      </c>
    </row>
    <row r="160" spans="1:18">
      <c r="A160" t="s">
        <v>342</v>
      </c>
      <c r="B160" t="s">
        <v>266</v>
      </c>
      <c r="C160" t="s">
        <v>28</v>
      </c>
      <c r="D160">
        <v>10</v>
      </c>
      <c r="E160" s="1">
        <v>5</v>
      </c>
      <c r="F160" s="1" t="s">
        <v>343</v>
      </c>
      <c r="K160" t="e">
        <f t="shared" si="4"/>
        <v>#DIV/0!</v>
      </c>
      <c r="R160">
        <f t="shared" si="5"/>
        <v>0</v>
      </c>
    </row>
    <row r="161" spans="1:18">
      <c r="A161" t="s">
        <v>344</v>
      </c>
      <c r="B161" t="s">
        <v>266</v>
      </c>
      <c r="C161" t="s">
        <v>31</v>
      </c>
      <c r="D161">
        <v>10</v>
      </c>
      <c r="E161" s="1">
        <v>5</v>
      </c>
      <c r="F161" s="1" t="s">
        <v>345</v>
      </c>
      <c r="K161" t="e">
        <f t="shared" si="4"/>
        <v>#DIV/0!</v>
      </c>
      <c r="R161">
        <f t="shared" si="5"/>
        <v>0</v>
      </c>
    </row>
    <row r="162" spans="1:18">
      <c r="A162" t="s">
        <v>346</v>
      </c>
      <c r="B162" t="s">
        <v>266</v>
      </c>
      <c r="C162" t="s">
        <v>22</v>
      </c>
      <c r="D162">
        <v>11</v>
      </c>
      <c r="E162" s="1">
        <v>5</v>
      </c>
      <c r="F162" s="1" t="s">
        <v>347</v>
      </c>
      <c r="K162" t="e">
        <f t="shared" si="4"/>
        <v>#DIV/0!</v>
      </c>
      <c r="R162">
        <f t="shared" si="5"/>
        <v>0</v>
      </c>
    </row>
    <row r="163" spans="1:18">
      <c r="A163" t="s">
        <v>348</v>
      </c>
      <c r="B163" t="s">
        <v>266</v>
      </c>
      <c r="C163" t="s">
        <v>25</v>
      </c>
      <c r="D163">
        <v>11</v>
      </c>
      <c r="E163" s="1">
        <v>5</v>
      </c>
      <c r="F163" s="1" t="s">
        <v>349</v>
      </c>
      <c r="K163" t="e">
        <f t="shared" si="4"/>
        <v>#DIV/0!</v>
      </c>
      <c r="R163">
        <f t="shared" si="5"/>
        <v>0</v>
      </c>
    </row>
    <row r="164" spans="1:18">
      <c r="A164" t="s">
        <v>350</v>
      </c>
      <c r="B164" t="s">
        <v>266</v>
      </c>
      <c r="C164" t="s">
        <v>28</v>
      </c>
      <c r="D164">
        <v>11</v>
      </c>
      <c r="E164" s="1">
        <v>5</v>
      </c>
      <c r="F164" s="1" t="s">
        <v>351</v>
      </c>
      <c r="K164" t="e">
        <f t="shared" si="4"/>
        <v>#DIV/0!</v>
      </c>
      <c r="R164">
        <f t="shared" si="5"/>
        <v>0</v>
      </c>
    </row>
    <row r="165" spans="1:18">
      <c r="A165" t="s">
        <v>352</v>
      </c>
      <c r="B165" t="s">
        <v>266</v>
      </c>
      <c r="C165" t="s">
        <v>31</v>
      </c>
      <c r="D165">
        <v>11</v>
      </c>
      <c r="E165" s="1">
        <v>5</v>
      </c>
      <c r="F165" s="1" t="s">
        <v>353</v>
      </c>
      <c r="K165" t="e">
        <f t="shared" si="4"/>
        <v>#DIV/0!</v>
      </c>
      <c r="R165">
        <f t="shared" si="5"/>
        <v>0</v>
      </c>
    </row>
    <row r="166" spans="1:18">
      <c r="A166" t="s">
        <v>354</v>
      </c>
      <c r="B166" t="s">
        <v>266</v>
      </c>
      <c r="C166" t="s">
        <v>22</v>
      </c>
      <c r="D166">
        <v>12</v>
      </c>
      <c r="E166" s="1">
        <v>5</v>
      </c>
      <c r="F166" s="1" t="s">
        <v>355</v>
      </c>
      <c r="K166" t="e">
        <f t="shared" si="4"/>
        <v>#DIV/0!</v>
      </c>
      <c r="R166">
        <f t="shared" si="5"/>
        <v>0</v>
      </c>
    </row>
    <row r="167" spans="1:18">
      <c r="A167" t="s">
        <v>356</v>
      </c>
      <c r="B167" t="s">
        <v>266</v>
      </c>
      <c r="C167" t="s">
        <v>25</v>
      </c>
      <c r="D167">
        <v>12</v>
      </c>
      <c r="E167" s="1">
        <v>5</v>
      </c>
      <c r="F167" s="1" t="s">
        <v>357</v>
      </c>
      <c r="K167" t="e">
        <f t="shared" si="4"/>
        <v>#DIV/0!</v>
      </c>
      <c r="R167">
        <f t="shared" si="5"/>
        <v>0</v>
      </c>
    </row>
    <row r="168" spans="1:18">
      <c r="A168" t="s">
        <v>358</v>
      </c>
      <c r="B168" t="s">
        <v>266</v>
      </c>
      <c r="C168" t="s">
        <v>28</v>
      </c>
      <c r="D168">
        <v>12</v>
      </c>
      <c r="E168" s="1">
        <v>5</v>
      </c>
      <c r="F168" s="1" t="s">
        <v>359</v>
      </c>
      <c r="K168" t="e">
        <f t="shared" si="4"/>
        <v>#DIV/0!</v>
      </c>
      <c r="R168">
        <f t="shared" si="5"/>
        <v>0</v>
      </c>
    </row>
    <row r="169" spans="1:18">
      <c r="A169" t="s">
        <v>360</v>
      </c>
      <c r="B169" t="s">
        <v>266</v>
      </c>
      <c r="C169" t="s">
        <v>31</v>
      </c>
      <c r="D169">
        <v>12</v>
      </c>
      <c r="E169" s="1">
        <v>5</v>
      </c>
      <c r="F169" s="1" t="s">
        <v>361</v>
      </c>
      <c r="K169" t="e">
        <f t="shared" si="4"/>
        <v>#DIV/0!</v>
      </c>
      <c r="R169">
        <f t="shared" si="5"/>
        <v>0</v>
      </c>
    </row>
    <row r="170" spans="1:18">
      <c r="A170" t="s">
        <v>362</v>
      </c>
      <c r="B170" t="s">
        <v>266</v>
      </c>
      <c r="C170" t="s">
        <v>22</v>
      </c>
      <c r="D170">
        <v>13</v>
      </c>
      <c r="E170" s="1">
        <v>1</v>
      </c>
      <c r="F170" s="1" t="s">
        <v>363</v>
      </c>
      <c r="G170">
        <v>1.3435573396719986</v>
      </c>
      <c r="H170">
        <v>1.2620749615396936</v>
      </c>
      <c r="I170">
        <v>1.2268877588901561</v>
      </c>
      <c r="J170">
        <v>1.3855835824546427</v>
      </c>
      <c r="K170">
        <f t="shared" si="4"/>
        <v>1.3045259106391227</v>
      </c>
      <c r="L170">
        <v>2.3231489474314109</v>
      </c>
      <c r="M170">
        <v>0.29925957897256439</v>
      </c>
      <c r="N170">
        <v>4.0207240379574105E-3</v>
      </c>
      <c r="O170">
        <v>2.2617387564672491</v>
      </c>
      <c r="P170">
        <v>0.27469550258689968</v>
      </c>
      <c r="Q170">
        <v>3.3702054954604641E-3</v>
      </c>
      <c r="R170">
        <f t="shared" si="5"/>
        <v>7.3909295334178751</v>
      </c>
    </row>
    <row r="171" spans="1:18">
      <c r="A171" t="s">
        <v>364</v>
      </c>
      <c r="B171" t="s">
        <v>266</v>
      </c>
      <c r="C171" t="s">
        <v>25</v>
      </c>
      <c r="D171">
        <v>13</v>
      </c>
      <c r="E171" s="1">
        <v>1</v>
      </c>
      <c r="F171" s="1" t="s">
        <v>365</v>
      </c>
      <c r="G171">
        <v>1.4428152736376019</v>
      </c>
      <c r="H171">
        <v>1.5595775812362911</v>
      </c>
      <c r="I171">
        <v>1.4352274207193918</v>
      </c>
      <c r="J171">
        <v>1.4673756331639647</v>
      </c>
      <c r="K171">
        <f t="shared" si="4"/>
        <v>1.4762489771893124</v>
      </c>
      <c r="L171">
        <v>2.2901206685164914</v>
      </c>
      <c r="M171">
        <v>0.28604826740659661</v>
      </c>
      <c r="N171">
        <v>4.1271480921181054E-3</v>
      </c>
      <c r="O171">
        <v>2.2091457306434634</v>
      </c>
      <c r="P171">
        <v>0.25365829225738545</v>
      </c>
      <c r="Q171">
        <v>3.6405733654065299E-3</v>
      </c>
      <c r="R171">
        <f t="shared" si="5"/>
        <v>7.7677214575246349</v>
      </c>
    </row>
    <row r="172" spans="1:18">
      <c r="A172" t="s">
        <v>366</v>
      </c>
      <c r="B172" t="s">
        <v>266</v>
      </c>
      <c r="C172" t="s">
        <v>28</v>
      </c>
      <c r="D172">
        <v>13</v>
      </c>
      <c r="E172" s="1">
        <v>1</v>
      </c>
      <c r="F172" s="1" t="s">
        <v>367</v>
      </c>
      <c r="G172">
        <v>1.146965990581011</v>
      </c>
      <c r="H172">
        <v>1.2014736128237686</v>
      </c>
      <c r="I172">
        <v>1.2117925329325083</v>
      </c>
      <c r="J172">
        <v>1.0929394980483083</v>
      </c>
      <c r="K172">
        <f t="shared" si="4"/>
        <v>1.163292908596399</v>
      </c>
      <c r="L172">
        <v>2.4259698297093033</v>
      </c>
      <c r="M172">
        <v>0.34038793188372141</v>
      </c>
      <c r="N172">
        <v>3.9041338147483419E-3</v>
      </c>
      <c r="O172">
        <v>2.2017915768366185</v>
      </c>
      <c r="P172">
        <v>0.25071663073464745</v>
      </c>
      <c r="Q172">
        <v>3.0381654100624282E-3</v>
      </c>
      <c r="R172">
        <f t="shared" si="5"/>
        <v>6.9422992248107693</v>
      </c>
    </row>
    <row r="173" spans="1:18">
      <c r="A173" t="s">
        <v>368</v>
      </c>
      <c r="B173" t="s">
        <v>266</v>
      </c>
      <c r="C173" t="s">
        <v>31</v>
      </c>
      <c r="D173">
        <v>13</v>
      </c>
      <c r="E173" s="1">
        <v>1</v>
      </c>
      <c r="F173" s="1" t="s">
        <v>369</v>
      </c>
      <c r="G173">
        <v>1.3157322963675908</v>
      </c>
      <c r="H173">
        <v>1.3942071764214075</v>
      </c>
      <c r="I173">
        <v>1.3433071522227698</v>
      </c>
      <c r="J173">
        <v>1.3911699357790248</v>
      </c>
      <c r="K173">
        <f t="shared" si="4"/>
        <v>1.3611041401976982</v>
      </c>
      <c r="L173">
        <v>2.3611792807827041</v>
      </c>
      <c r="M173">
        <v>0.31447171231308169</v>
      </c>
      <c r="N173">
        <v>4.1376058818433934E-3</v>
      </c>
      <c r="O173">
        <v>2.191391471937588</v>
      </c>
      <c r="P173">
        <v>0.24655658877503528</v>
      </c>
      <c r="Q173">
        <v>3.3120122912915313E-3</v>
      </c>
      <c r="R173">
        <f t="shared" si="5"/>
        <v>7.4496181731349242</v>
      </c>
    </row>
    <row r="174" spans="1:18">
      <c r="A174" t="s">
        <v>370</v>
      </c>
      <c r="B174" t="s">
        <v>266</v>
      </c>
      <c r="C174" t="s">
        <v>22</v>
      </c>
      <c r="D174">
        <v>14</v>
      </c>
      <c r="E174" s="1">
        <v>1</v>
      </c>
      <c r="F174" s="1" t="s">
        <v>371</v>
      </c>
      <c r="G174">
        <v>1.3103016541130084</v>
      </c>
      <c r="H174">
        <v>1.3184721113710305</v>
      </c>
      <c r="I174">
        <v>1.1888050301673796</v>
      </c>
      <c r="J174">
        <v>1.2762166758901419</v>
      </c>
      <c r="K174">
        <f t="shared" si="4"/>
        <v>1.2734488678853899</v>
      </c>
      <c r="L174">
        <v>2.3542431049133357</v>
      </c>
      <c r="M174">
        <v>0.31169724196533433</v>
      </c>
      <c r="N174">
        <v>4.0841741172964021E-3</v>
      </c>
      <c r="O174">
        <v>2.3893712594455168</v>
      </c>
      <c r="P174">
        <v>0.32574850377820674</v>
      </c>
      <c r="Q174">
        <v>3.8725145986102986E-3</v>
      </c>
      <c r="R174">
        <f t="shared" si="5"/>
        <v>7.9566887159066999</v>
      </c>
    </row>
    <row r="175" spans="1:18">
      <c r="A175" t="s">
        <v>372</v>
      </c>
      <c r="B175" t="s">
        <v>266</v>
      </c>
      <c r="C175" t="s">
        <v>25</v>
      </c>
      <c r="D175">
        <v>14</v>
      </c>
      <c r="E175" s="1">
        <v>1</v>
      </c>
      <c r="F175" s="1" t="s">
        <v>373</v>
      </c>
      <c r="G175">
        <v>1.4509349935807456</v>
      </c>
      <c r="H175">
        <v>1.4645046009668738</v>
      </c>
      <c r="I175">
        <v>1.1852901589401061</v>
      </c>
      <c r="J175">
        <v>1.2569382457988902</v>
      </c>
      <c r="K175">
        <f t="shared" si="4"/>
        <v>1.3394169998216539</v>
      </c>
      <c r="L175">
        <v>2.1739413172406432</v>
      </c>
      <c r="M175">
        <v>0.2395765268962573</v>
      </c>
      <c r="N175">
        <v>3.4760996651431839E-3</v>
      </c>
      <c r="O175">
        <v>2.0624390243902666</v>
      </c>
      <c r="P175">
        <v>0.19497560975610673</v>
      </c>
      <c r="Q175">
        <v>2.3110267147725986E-3</v>
      </c>
      <c r="R175">
        <f t="shared" si="5"/>
        <v>5.787126379915783</v>
      </c>
    </row>
    <row r="176" spans="1:18">
      <c r="A176" t="s">
        <v>374</v>
      </c>
      <c r="B176" t="s">
        <v>266</v>
      </c>
      <c r="C176" t="s">
        <v>28</v>
      </c>
      <c r="D176">
        <v>14</v>
      </c>
      <c r="E176" s="1">
        <v>1</v>
      </c>
      <c r="F176" s="1" t="s">
        <v>375</v>
      </c>
      <c r="G176">
        <v>0.94059458665654538</v>
      </c>
      <c r="H176">
        <v>1.1930529681165183</v>
      </c>
      <c r="I176">
        <v>1.2131816856226305</v>
      </c>
      <c r="J176">
        <v>1.1425570928743267</v>
      </c>
      <c r="K176">
        <f t="shared" si="4"/>
        <v>1.1223465833175053</v>
      </c>
      <c r="L176">
        <v>2.1913073305232902</v>
      </c>
      <c r="M176">
        <v>0.24652293220931609</v>
      </c>
      <c r="N176">
        <v>2.3187813552278122E-3</v>
      </c>
      <c r="O176">
        <v>1.9985328231258475</v>
      </c>
      <c r="P176">
        <v>0.16941312925033902</v>
      </c>
      <c r="Q176">
        <v>2.0552890571053084E-3</v>
      </c>
      <c r="R176">
        <f t="shared" si="5"/>
        <v>4.3740704123331202</v>
      </c>
    </row>
    <row r="177" spans="1:18">
      <c r="A177" t="s">
        <v>376</v>
      </c>
      <c r="B177" t="s">
        <v>266</v>
      </c>
      <c r="C177" t="s">
        <v>31</v>
      </c>
      <c r="D177">
        <v>14</v>
      </c>
      <c r="E177" s="1">
        <v>1</v>
      </c>
      <c r="F177" s="1" t="s">
        <v>377</v>
      </c>
      <c r="G177">
        <v>1.3812201733750911</v>
      </c>
      <c r="H177">
        <v>1.3933306455678167</v>
      </c>
      <c r="I177">
        <v>1.422732044758622</v>
      </c>
      <c r="J177">
        <v>1.5142779068626919</v>
      </c>
      <c r="K177">
        <f t="shared" si="4"/>
        <v>1.4278901926410552</v>
      </c>
      <c r="L177">
        <v>2.0994147905413576</v>
      </c>
      <c r="M177">
        <v>0.20976591621654306</v>
      </c>
      <c r="N177">
        <v>2.8973291516479838E-3</v>
      </c>
      <c r="O177">
        <v>1.9929584703947598</v>
      </c>
      <c r="P177">
        <v>0.16718338815790401</v>
      </c>
      <c r="Q177">
        <v>2.3785716368356917E-3</v>
      </c>
      <c r="R177">
        <f t="shared" si="5"/>
        <v>5.2759007884836757</v>
      </c>
    </row>
    <row r="178" spans="1:18">
      <c r="A178" t="s">
        <v>378</v>
      </c>
      <c r="B178" t="s">
        <v>266</v>
      </c>
      <c r="C178" t="s">
        <v>22</v>
      </c>
      <c r="D178">
        <v>15</v>
      </c>
      <c r="E178" s="1">
        <v>1</v>
      </c>
      <c r="F178" s="1" t="s">
        <v>379</v>
      </c>
      <c r="G178">
        <v>1.0210779645545183</v>
      </c>
      <c r="H178">
        <v>0.85990126124873045</v>
      </c>
      <c r="I178">
        <v>0.78462283203226002</v>
      </c>
      <c r="J178">
        <v>0.86837089370827769</v>
      </c>
      <c r="K178">
        <f t="shared" si="4"/>
        <v>0.88349323788594658</v>
      </c>
      <c r="L178">
        <v>2.1920708991804472</v>
      </c>
      <c r="M178">
        <v>0.24682835967217887</v>
      </c>
      <c r="N178">
        <v>2.5203099908839895E-3</v>
      </c>
      <c r="O178">
        <v>1.9554893379271729</v>
      </c>
      <c r="P178">
        <v>0.15219573517086926</v>
      </c>
      <c r="Q178">
        <v>1.1941624875299929E-3</v>
      </c>
      <c r="R178">
        <f t="shared" si="5"/>
        <v>3.7144724784139824</v>
      </c>
    </row>
    <row r="179" spans="1:18">
      <c r="A179" t="s">
        <v>380</v>
      </c>
      <c r="B179" t="s">
        <v>266</v>
      </c>
      <c r="C179" t="s">
        <v>25</v>
      </c>
      <c r="D179">
        <v>15</v>
      </c>
      <c r="E179" s="1">
        <v>1</v>
      </c>
      <c r="F179" s="1" t="s">
        <v>381</v>
      </c>
      <c r="G179">
        <v>1.15600947956746</v>
      </c>
      <c r="H179">
        <v>1.1235743388594359</v>
      </c>
      <c r="I179">
        <v>0.9359844892529291</v>
      </c>
      <c r="J179">
        <v>1.0557525453675245</v>
      </c>
      <c r="K179">
        <f t="shared" si="4"/>
        <v>1.0678302132618374</v>
      </c>
      <c r="L179">
        <v>2.2572693364996312</v>
      </c>
      <c r="M179">
        <v>0.27290773459985251</v>
      </c>
      <c r="N179">
        <v>3.1548392824471004E-3</v>
      </c>
      <c r="O179">
        <v>2.3220121459096807</v>
      </c>
      <c r="P179">
        <v>0.29880485836387238</v>
      </c>
      <c r="Q179">
        <v>2.7967671274200293E-3</v>
      </c>
      <c r="R179">
        <f t="shared" si="5"/>
        <v>5.9516064098671295</v>
      </c>
    </row>
    <row r="180" spans="1:18">
      <c r="A180" t="s">
        <v>382</v>
      </c>
      <c r="B180" t="s">
        <v>266</v>
      </c>
      <c r="C180" t="s">
        <v>28</v>
      </c>
      <c r="D180">
        <v>15</v>
      </c>
      <c r="E180" s="1">
        <v>1</v>
      </c>
      <c r="F180" s="1" t="s">
        <v>383</v>
      </c>
      <c r="G180">
        <v>1.4542504146736688</v>
      </c>
      <c r="H180">
        <v>1.3295905815797522</v>
      </c>
      <c r="I180">
        <v>1.2005008560281669</v>
      </c>
      <c r="J180">
        <v>1.293728047773556</v>
      </c>
      <c r="K180">
        <f t="shared" si="4"/>
        <v>1.3195174750137859</v>
      </c>
      <c r="L180">
        <v>2.2053378835195105</v>
      </c>
      <c r="M180">
        <v>0.25213515340780424</v>
      </c>
      <c r="N180">
        <v>3.6666765139710842E-3</v>
      </c>
      <c r="O180">
        <v>2.2214502025459328</v>
      </c>
      <c r="P180">
        <v>0.25858008101837315</v>
      </c>
      <c r="Q180">
        <v>3.1042560861438973E-3</v>
      </c>
      <c r="R180">
        <f t="shared" si="5"/>
        <v>6.7709326001149819</v>
      </c>
    </row>
    <row r="181" spans="1:18">
      <c r="A181" t="s">
        <v>384</v>
      </c>
      <c r="B181" t="s">
        <v>266</v>
      </c>
      <c r="C181" t="s">
        <v>31</v>
      </c>
      <c r="D181">
        <v>15</v>
      </c>
      <c r="E181" s="1">
        <v>1</v>
      </c>
      <c r="F181" s="1" t="s">
        <v>385</v>
      </c>
      <c r="G181">
        <v>1.4117937794958482</v>
      </c>
      <c r="H181">
        <v>1.3648617632332265</v>
      </c>
      <c r="I181">
        <v>1.2970487175542251</v>
      </c>
      <c r="J181">
        <v>1.2066628154420331</v>
      </c>
      <c r="K181">
        <f t="shared" si="4"/>
        <v>1.3200917689313334</v>
      </c>
      <c r="L181">
        <v>2.1152849249598793</v>
      </c>
      <c r="M181">
        <v>0.21611396998395171</v>
      </c>
      <c r="N181">
        <v>3.0510835848549553E-3</v>
      </c>
      <c r="O181">
        <v>1.7666347238248021</v>
      </c>
      <c r="P181">
        <v>7.6653889529920916E-2</v>
      </c>
      <c r="Q181">
        <v>9.9423829110327163E-4</v>
      </c>
      <c r="R181">
        <f t="shared" si="5"/>
        <v>4.0453218759582272</v>
      </c>
    </row>
    <row r="182" spans="1:18">
      <c r="E182" s="1"/>
      <c r="F182" s="1"/>
    </row>
    <row r="183" spans="1:18">
      <c r="E183" s="1"/>
      <c r="F183" s="1"/>
    </row>
    <row r="184" spans="1:18">
      <c r="E184" s="1"/>
      <c r="F184" s="1"/>
    </row>
    <row r="185" spans="1:18">
      <c r="E185" s="1"/>
      <c r="F185" s="1"/>
    </row>
    <row r="186" spans="1:18">
      <c r="E186" s="1"/>
      <c r="F186" s="1"/>
    </row>
    <row r="187" spans="1:18">
      <c r="E187" s="1"/>
      <c r="F187" s="1"/>
    </row>
    <row r="188" spans="1:18">
      <c r="E188" s="1"/>
      <c r="F188" s="1"/>
    </row>
    <row r="189" spans="1:18">
      <c r="E189" s="1"/>
      <c r="F189" s="1"/>
    </row>
    <row r="190" spans="1:18">
      <c r="E190" s="1"/>
      <c r="F190" s="1"/>
    </row>
    <row r="191" spans="1:18">
      <c r="E191" s="1"/>
      <c r="F191" s="1"/>
    </row>
    <row r="192" spans="1:18">
      <c r="E192" s="1"/>
      <c r="F192" s="1"/>
    </row>
    <row r="193" spans="5:6">
      <c r="E193" s="1"/>
      <c r="F193" s="1"/>
    </row>
    <row r="194" spans="5:6">
      <c r="E194" s="1"/>
      <c r="F194" s="1"/>
    </row>
    <row r="195" spans="5:6">
      <c r="E195" s="1"/>
      <c r="F195" s="1"/>
    </row>
    <row r="196" spans="5:6">
      <c r="E196" s="1"/>
      <c r="F196" s="1"/>
    </row>
    <row r="197" spans="5:6">
      <c r="E197" s="1"/>
      <c r="F197" s="1"/>
    </row>
    <row r="198" spans="5:6">
      <c r="E198" s="1"/>
      <c r="F198" s="1"/>
    </row>
    <row r="199" spans="5:6">
      <c r="E199" s="1"/>
      <c r="F199" s="1"/>
    </row>
    <row r="200" spans="5:6">
      <c r="E200" s="1"/>
      <c r="F200" s="1"/>
    </row>
    <row r="201" spans="5:6">
      <c r="E201" s="1"/>
      <c r="F201" s="1"/>
    </row>
    <row r="202" spans="5:6">
      <c r="E202" s="1"/>
      <c r="F202" s="1"/>
    </row>
    <row r="203" spans="5:6">
      <c r="E203" s="1"/>
      <c r="F203" s="1"/>
    </row>
    <row r="204" spans="5:6">
      <c r="E204" s="1"/>
      <c r="F204" s="1"/>
    </row>
    <row r="205" spans="5:6">
      <c r="E205" s="1"/>
      <c r="F205" s="1"/>
    </row>
    <row r="206" spans="5:6">
      <c r="E206" s="1"/>
      <c r="F206" s="1"/>
    </row>
    <row r="207" spans="5:6">
      <c r="E207" s="1"/>
      <c r="F207" s="1"/>
    </row>
    <row r="208" spans="5:6">
      <c r="E208" s="1"/>
      <c r="F208" s="1"/>
    </row>
    <row r="209" spans="5:6">
      <c r="E209" s="1"/>
      <c r="F209" s="1"/>
    </row>
    <row r="210" spans="5:6">
      <c r="E210" s="1"/>
      <c r="F210" s="1"/>
    </row>
    <row r="211" spans="5:6">
      <c r="E211" s="1"/>
      <c r="F211" s="1"/>
    </row>
    <row r="212" spans="5:6">
      <c r="E212" s="1"/>
      <c r="F212" s="1"/>
    </row>
    <row r="213" spans="5:6">
      <c r="E213" s="1"/>
      <c r="F213" s="1"/>
    </row>
    <row r="214" spans="5:6">
      <c r="E214" s="1"/>
      <c r="F214" s="1"/>
    </row>
    <row r="215" spans="5:6">
      <c r="E215" s="1"/>
      <c r="F215" s="1"/>
    </row>
    <row r="216" spans="5:6">
      <c r="E216" s="1"/>
      <c r="F216" s="1"/>
    </row>
    <row r="217" spans="5:6">
      <c r="E217" s="1"/>
      <c r="F217" s="1"/>
    </row>
    <row r="218" spans="5:6">
      <c r="E218" s="1"/>
    </row>
    <row r="219" spans="5:6">
      <c r="E219" s="1"/>
    </row>
    <row r="220" spans="5:6">
      <c r="E220" s="1"/>
    </row>
    <row r="221" spans="5:6">
      <c r="E221" s="1"/>
    </row>
    <row r="222" spans="5:6">
      <c r="E222" s="1"/>
    </row>
    <row r="223" spans="5:6">
      <c r="E223" s="1"/>
    </row>
    <row r="224" spans="5:6">
      <c r="E224" s="1"/>
    </row>
    <row r="225" spans="5:5">
      <c r="E225" s="1"/>
    </row>
    <row r="226" spans="5:5">
      <c r="E226" s="1"/>
    </row>
    <row r="227" spans="5:5">
      <c r="E227" s="1"/>
    </row>
    <row r="228" spans="5:5">
      <c r="E228" s="1"/>
    </row>
    <row r="229" spans="5:5">
      <c r="E229" s="1"/>
    </row>
    <row r="230" spans="5:5">
      <c r="E230" s="1"/>
    </row>
    <row r="231" spans="5:5">
      <c r="E231" s="1"/>
    </row>
    <row r="232" spans="5:5">
      <c r="E232" s="1"/>
    </row>
    <row r="233" spans="5:5">
      <c r="E233" s="1"/>
    </row>
    <row r="234" spans="5:5">
      <c r="E234" s="1"/>
    </row>
    <row r="235" spans="5:5">
      <c r="E235" s="1"/>
    </row>
    <row r="236" spans="5:5">
      <c r="E236" s="1"/>
    </row>
    <row r="237" spans="5:5">
      <c r="E237" s="1"/>
    </row>
    <row r="238" spans="5:5">
      <c r="E238" s="1"/>
    </row>
    <row r="239" spans="5:5">
      <c r="E239" s="1"/>
    </row>
    <row r="240" spans="5:5">
      <c r="E240" s="1"/>
    </row>
    <row r="241" spans="5:6">
      <c r="E241" s="1"/>
    </row>
    <row r="242" spans="5:6">
      <c r="E242" s="1"/>
      <c r="F242" s="1"/>
    </row>
    <row r="243" spans="5:6">
      <c r="E243" s="1"/>
      <c r="F243" s="1"/>
    </row>
    <row r="244" spans="5:6">
      <c r="E244" s="1"/>
      <c r="F244" s="1"/>
    </row>
    <row r="245" spans="5:6">
      <c r="E245" s="1"/>
      <c r="F245" s="1"/>
    </row>
    <row r="246" spans="5:6">
      <c r="E246" s="1"/>
      <c r="F246" s="1"/>
    </row>
    <row r="247" spans="5:6">
      <c r="E247" s="1"/>
      <c r="F247" s="1"/>
    </row>
    <row r="248" spans="5:6">
      <c r="E248" s="1"/>
      <c r="F248" s="1"/>
    </row>
    <row r="249" spans="5:6">
      <c r="E249" s="1"/>
      <c r="F249" s="1"/>
    </row>
    <row r="250" spans="5:6">
      <c r="E250" s="1"/>
      <c r="F250" s="1"/>
    </row>
    <row r="251" spans="5:6">
      <c r="E251" s="1"/>
      <c r="F251" s="1"/>
    </row>
    <row r="252" spans="5:6">
      <c r="E252" s="1"/>
      <c r="F252" s="1"/>
    </row>
    <row r="253" spans="5:6">
      <c r="E253" s="1"/>
      <c r="F253" s="1"/>
    </row>
    <row r="254" spans="5:6">
      <c r="E254" s="1"/>
      <c r="F254" s="1"/>
    </row>
    <row r="255" spans="5:6">
      <c r="E255" s="1"/>
      <c r="F255" s="1"/>
    </row>
    <row r="256" spans="5:6">
      <c r="E256" s="1"/>
      <c r="F256" s="1"/>
    </row>
    <row r="257" spans="5:6">
      <c r="E257" s="1"/>
      <c r="F257" s="1"/>
    </row>
    <row r="258" spans="5:6">
      <c r="E258" s="1"/>
      <c r="F258" s="1"/>
    </row>
    <row r="259" spans="5:6">
      <c r="E259" s="1"/>
      <c r="F259" s="1"/>
    </row>
    <row r="260" spans="5:6">
      <c r="E260" s="1"/>
      <c r="F260" s="1"/>
    </row>
    <row r="261" spans="5:6">
      <c r="E261" s="1"/>
      <c r="F261" s="1"/>
    </row>
    <row r="262" spans="5:6">
      <c r="E262" s="1"/>
      <c r="F262" s="1"/>
    </row>
    <row r="263" spans="5:6">
      <c r="E263" s="1"/>
      <c r="F263" s="1"/>
    </row>
    <row r="264" spans="5:6">
      <c r="E264" s="1"/>
      <c r="F264" s="1"/>
    </row>
    <row r="265" spans="5:6">
      <c r="E265" s="1"/>
      <c r="F265" s="1"/>
    </row>
    <row r="266" spans="5:6">
      <c r="E266" s="1"/>
      <c r="F266" s="1"/>
    </row>
    <row r="267" spans="5:6">
      <c r="E267" s="1"/>
      <c r="F267" s="1"/>
    </row>
    <row r="268" spans="5:6">
      <c r="E268" s="1"/>
      <c r="F268" s="1"/>
    </row>
    <row r="269" spans="5:6">
      <c r="E269" s="1"/>
      <c r="F269" s="1"/>
    </row>
    <row r="270" spans="5:6">
      <c r="E270" s="1"/>
      <c r="F270" s="1"/>
    </row>
    <row r="271" spans="5:6">
      <c r="E271" s="1"/>
      <c r="F271" s="1"/>
    </row>
    <row r="272" spans="5:6">
      <c r="E272" s="1"/>
      <c r="F272" s="1"/>
    </row>
    <row r="273" spans="5:6">
      <c r="E273" s="1"/>
      <c r="F273" s="1"/>
    </row>
    <row r="274" spans="5:6">
      <c r="E274" s="1"/>
      <c r="F274" s="1"/>
    </row>
    <row r="275" spans="5:6">
      <c r="E275" s="1"/>
      <c r="F275" s="1"/>
    </row>
    <row r="276" spans="5:6">
      <c r="E276" s="1"/>
      <c r="F276" s="1"/>
    </row>
    <row r="277" spans="5:6">
      <c r="E277" s="1"/>
      <c r="F277" s="1"/>
    </row>
    <row r="278" spans="5:6">
      <c r="E278" s="1"/>
      <c r="F278" s="1"/>
    </row>
    <row r="279" spans="5:6">
      <c r="E279" s="1"/>
      <c r="F279" s="1"/>
    </row>
    <row r="280" spans="5:6">
      <c r="E280" s="1"/>
      <c r="F280" s="1"/>
    </row>
    <row r="281" spans="5:6">
      <c r="E281" s="1"/>
      <c r="F281" s="1"/>
    </row>
    <row r="282" spans="5:6">
      <c r="E282" s="1"/>
      <c r="F282" s="1"/>
    </row>
    <row r="283" spans="5:6">
      <c r="E283" s="1"/>
      <c r="F283" s="1"/>
    </row>
    <row r="284" spans="5:6">
      <c r="E284" s="1"/>
      <c r="F284" s="1"/>
    </row>
    <row r="285" spans="5:6">
      <c r="E285" s="1"/>
      <c r="F285" s="1"/>
    </row>
    <row r="286" spans="5:6">
      <c r="E286" s="1"/>
      <c r="F286" s="1"/>
    </row>
    <row r="287" spans="5:6">
      <c r="E287" s="1"/>
      <c r="F287" s="1"/>
    </row>
    <row r="288" spans="5:6">
      <c r="E288" s="1"/>
      <c r="F288" s="1"/>
    </row>
    <row r="289" spans="5:6">
      <c r="E289" s="1"/>
      <c r="F289" s="1"/>
    </row>
    <row r="290" spans="5:6">
      <c r="E290" s="1"/>
      <c r="F290" s="1"/>
    </row>
    <row r="291" spans="5:6">
      <c r="E291" s="1"/>
      <c r="F291" s="1"/>
    </row>
    <row r="292" spans="5:6">
      <c r="E292" s="1"/>
      <c r="F292" s="1"/>
    </row>
    <row r="293" spans="5:6">
      <c r="E293" s="1"/>
      <c r="F293" s="1"/>
    </row>
    <row r="294" spans="5:6">
      <c r="E294" s="1"/>
      <c r="F294" s="1"/>
    </row>
    <row r="295" spans="5:6">
      <c r="E295" s="1"/>
      <c r="F295" s="1"/>
    </row>
    <row r="296" spans="5:6">
      <c r="E296" s="1"/>
      <c r="F296" s="1"/>
    </row>
    <row r="297" spans="5:6">
      <c r="E297" s="1"/>
      <c r="F297" s="1"/>
    </row>
    <row r="298" spans="5:6">
      <c r="E298" s="1"/>
      <c r="F298" s="1"/>
    </row>
    <row r="299" spans="5:6">
      <c r="E299" s="1"/>
      <c r="F299" s="1"/>
    </row>
    <row r="300" spans="5:6">
      <c r="E300" s="1"/>
      <c r="F300" s="1"/>
    </row>
    <row r="301" spans="5:6">
      <c r="E301" s="1"/>
      <c r="F301" s="1"/>
    </row>
    <row r="302" spans="5:6">
      <c r="E302" s="1"/>
      <c r="F302" s="1"/>
    </row>
    <row r="303" spans="5:6">
      <c r="E303" s="1"/>
      <c r="F303" s="1"/>
    </row>
    <row r="304" spans="5:6">
      <c r="E304" s="1"/>
      <c r="F304" s="1"/>
    </row>
    <row r="305" spans="5:6">
      <c r="E305" s="1"/>
      <c r="F305" s="1"/>
    </row>
    <row r="306" spans="5:6">
      <c r="E306" s="1"/>
      <c r="F306" s="1"/>
    </row>
    <row r="307" spans="5:6">
      <c r="E307" s="1"/>
      <c r="F307" s="1"/>
    </row>
    <row r="308" spans="5:6">
      <c r="E308" s="1"/>
      <c r="F308" s="1"/>
    </row>
    <row r="309" spans="5:6">
      <c r="E309" s="1"/>
      <c r="F309" s="1"/>
    </row>
    <row r="310" spans="5:6">
      <c r="E310" s="1"/>
      <c r="F310" s="1"/>
    </row>
    <row r="311" spans="5:6">
      <c r="E311" s="1"/>
      <c r="F311" s="1"/>
    </row>
    <row r="312" spans="5:6">
      <c r="E312" s="1"/>
      <c r="F312" s="1"/>
    </row>
    <row r="313" spans="5:6">
      <c r="E313" s="1"/>
      <c r="F313" s="1"/>
    </row>
    <row r="314" spans="5:6" s="2" customFormat="1">
      <c r="E314" s="1"/>
      <c r="F314" s="3"/>
    </row>
    <row r="315" spans="5:6">
      <c r="E315" s="1"/>
      <c r="F315" s="1"/>
    </row>
    <row r="316" spans="5:6">
      <c r="E316" s="1"/>
      <c r="F316" s="1"/>
    </row>
    <row r="317" spans="5:6">
      <c r="E317" s="1"/>
      <c r="F317" s="1"/>
    </row>
    <row r="318" spans="5:6">
      <c r="E318" s="1"/>
      <c r="F318" s="1"/>
    </row>
    <row r="319" spans="5:6">
      <c r="E319" s="1"/>
      <c r="F319" s="1"/>
    </row>
    <row r="320" spans="5:6">
      <c r="E320" s="1"/>
      <c r="F320" s="1"/>
    </row>
    <row r="321" spans="5:6">
      <c r="E321" s="1"/>
      <c r="F321" s="1"/>
    </row>
    <row r="322" spans="5:6">
      <c r="E322" s="1"/>
      <c r="F322" s="1"/>
    </row>
    <row r="323" spans="5:6">
      <c r="E323" s="1"/>
      <c r="F323" s="1"/>
    </row>
    <row r="324" spans="5:6">
      <c r="E324" s="1"/>
      <c r="F324" s="1"/>
    </row>
    <row r="325" spans="5:6">
      <c r="E325" s="1"/>
      <c r="F325" s="1"/>
    </row>
    <row r="326" spans="5:6">
      <c r="E326" s="1"/>
      <c r="F326" s="1"/>
    </row>
    <row r="327" spans="5:6">
      <c r="E327" s="1"/>
      <c r="F327" s="1"/>
    </row>
    <row r="328" spans="5:6">
      <c r="E328" s="1"/>
      <c r="F328" s="1"/>
    </row>
    <row r="329" spans="5:6">
      <c r="E329" s="1"/>
      <c r="F329" s="1"/>
    </row>
    <row r="330" spans="5:6">
      <c r="E330" s="1"/>
      <c r="F330" s="1"/>
    </row>
    <row r="331" spans="5:6">
      <c r="E331" s="1"/>
      <c r="F331" s="1"/>
    </row>
    <row r="332" spans="5:6">
      <c r="E332" s="1"/>
      <c r="F332" s="1"/>
    </row>
    <row r="333" spans="5:6">
      <c r="E333" s="1"/>
      <c r="F333" s="1"/>
    </row>
    <row r="334" spans="5:6">
      <c r="E334" s="1"/>
      <c r="F334" s="1"/>
    </row>
    <row r="335" spans="5:6">
      <c r="E335" s="1"/>
      <c r="F335" s="1"/>
    </row>
    <row r="336" spans="5:6">
      <c r="E336" s="1"/>
      <c r="F336" s="1"/>
    </row>
    <row r="337" spans="5:6">
      <c r="E337" s="1"/>
      <c r="F337" s="1"/>
    </row>
    <row r="338" spans="5:6">
      <c r="E338" s="1"/>
    </row>
    <row r="339" spans="5:6">
      <c r="E339" s="1"/>
      <c r="F339" s="1"/>
    </row>
    <row r="340" spans="5:6">
      <c r="E340" s="1"/>
      <c r="F340" s="1"/>
    </row>
    <row r="341" spans="5:6">
      <c r="E341" s="1"/>
      <c r="F341" s="1"/>
    </row>
    <row r="342" spans="5:6">
      <c r="E342" s="1"/>
      <c r="F342" s="1"/>
    </row>
    <row r="343" spans="5:6">
      <c r="E343" s="1"/>
      <c r="F343" s="1"/>
    </row>
    <row r="344" spans="5:6">
      <c r="E344" s="1"/>
      <c r="F344" s="1"/>
    </row>
    <row r="345" spans="5:6">
      <c r="E345" s="1"/>
      <c r="F345" s="1"/>
    </row>
    <row r="346" spans="5:6">
      <c r="E346" s="1"/>
      <c r="F346" s="1"/>
    </row>
    <row r="347" spans="5:6">
      <c r="E347" s="1"/>
      <c r="F347" s="1"/>
    </row>
    <row r="348" spans="5:6">
      <c r="E348" s="1"/>
      <c r="F348" s="1"/>
    </row>
    <row r="349" spans="5:6">
      <c r="E349" s="1"/>
      <c r="F349" s="1"/>
    </row>
    <row r="350" spans="5:6">
      <c r="E350" s="1"/>
      <c r="F350" s="1"/>
    </row>
    <row r="351" spans="5:6">
      <c r="E351" s="1"/>
      <c r="F351" s="1"/>
    </row>
    <row r="352" spans="5:6">
      <c r="E352" s="1"/>
      <c r="F352" s="1"/>
    </row>
    <row r="353" spans="5:6">
      <c r="E353" s="1"/>
      <c r="F353" s="1"/>
    </row>
    <row r="354" spans="5:6">
      <c r="E354" s="1"/>
      <c r="F354" s="1"/>
    </row>
    <row r="355" spans="5:6">
      <c r="E355" s="1"/>
      <c r="F355" s="1"/>
    </row>
    <row r="356" spans="5:6">
      <c r="E356" s="1"/>
      <c r="F356" s="1"/>
    </row>
    <row r="357" spans="5:6">
      <c r="E357" s="1"/>
      <c r="F357" s="1"/>
    </row>
    <row r="358" spans="5:6">
      <c r="E358" s="1"/>
      <c r="F358" s="1"/>
    </row>
    <row r="359" spans="5:6">
      <c r="E359" s="1"/>
      <c r="F359" s="1"/>
    </row>
    <row r="360" spans="5:6">
      <c r="E360" s="1"/>
      <c r="F360" s="1"/>
    </row>
    <row r="361" spans="5:6">
      <c r="E361" s="1"/>
      <c r="F361" s="1"/>
    </row>
  </sheetData>
  <autoFilter ref="A1:T181" xr:uid="{02AD4D05-27D1-B742-908C-2B53A12F0A3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4C76-7F3C-4CE4-9CE0-8E9D1F397F28}">
  <dimension ref="A1:U5"/>
  <sheetViews>
    <sheetView workbookViewId="0">
      <selection activeCell="J6" sqref="J6"/>
    </sheetView>
  </sheetViews>
  <sheetFormatPr defaultRowHeight="15"/>
  <cols>
    <col min="1" max="1" width="17.33203125" style="4" customWidth="1"/>
    <col min="2" max="2" width="14.5546875" style="4" customWidth="1"/>
    <col min="3" max="3" width="18.77734375" style="4" customWidth="1"/>
    <col min="4" max="4" width="9.77734375" style="4" customWidth="1"/>
    <col min="5" max="5" width="8.88671875" style="4"/>
    <col min="6" max="6" width="10.44140625" style="4" customWidth="1"/>
    <col min="7" max="7" width="13.88671875" style="4" customWidth="1"/>
    <col min="8" max="18" width="8.88671875" style="4"/>
    <col min="19" max="19" width="11.109375" style="4" customWidth="1"/>
    <col min="20" max="20" width="12.5546875" style="4" customWidth="1"/>
    <col min="21" max="16384" width="8.88671875" style="4"/>
  </cols>
  <sheetData>
    <row r="1" spans="1:21" ht="3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0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</row>
    <row r="2" spans="1:21" ht="53.25">
      <c r="A2" s="4" t="s">
        <v>386</v>
      </c>
      <c r="B2" s="4" t="s">
        <v>387</v>
      </c>
      <c r="C2" s="4" t="s">
        <v>388</v>
      </c>
      <c r="D2" s="6" t="s">
        <v>389</v>
      </c>
      <c r="E2" s="6" t="s">
        <v>390</v>
      </c>
      <c r="F2" s="4" t="s">
        <v>391</v>
      </c>
      <c r="G2" s="4" t="s">
        <v>392</v>
      </c>
      <c r="H2" s="4" t="s">
        <v>393</v>
      </c>
      <c r="I2" s="4" t="s">
        <v>393</v>
      </c>
      <c r="J2" s="4" t="s">
        <v>393</v>
      </c>
      <c r="K2" s="4" t="s">
        <v>393</v>
      </c>
      <c r="L2" s="4" t="s">
        <v>393</v>
      </c>
      <c r="M2" s="4" t="s">
        <v>394</v>
      </c>
      <c r="N2" s="4" t="s">
        <v>394</v>
      </c>
      <c r="O2" s="4" t="s">
        <v>395</v>
      </c>
      <c r="P2" s="4" t="s">
        <v>394</v>
      </c>
      <c r="Q2" s="4" t="s">
        <v>394</v>
      </c>
      <c r="R2" s="5" t="s">
        <v>395</v>
      </c>
      <c r="S2" s="4" t="s">
        <v>396</v>
      </c>
      <c r="T2" s="4" t="s">
        <v>397</v>
      </c>
      <c r="U2" s="4" t="s">
        <v>397</v>
      </c>
    </row>
    <row r="3" spans="1:21" ht="53.25">
      <c r="B3" s="4" t="s">
        <v>398</v>
      </c>
      <c r="C3" s="4" t="s">
        <v>399</v>
      </c>
      <c r="L3" s="4" t="s">
        <v>400</v>
      </c>
      <c r="S3" s="4" t="s">
        <v>401</v>
      </c>
      <c r="T3" s="4" t="s">
        <v>402</v>
      </c>
      <c r="U3" s="4" t="s">
        <v>402</v>
      </c>
    </row>
    <row r="4" spans="1:21" ht="17.25">
      <c r="B4" s="4" t="s">
        <v>403</v>
      </c>
      <c r="C4" s="4" t="s">
        <v>404</v>
      </c>
    </row>
    <row r="5" spans="1:21" ht="17.25">
      <c r="C5" s="4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Ferraro</dc:creator>
  <cp:keywords/>
  <dc:description/>
  <cp:lastModifiedBy>Hannah Ferraro</cp:lastModifiedBy>
  <cp:revision/>
  <dcterms:created xsi:type="dcterms:W3CDTF">2025-11-02T16:10:22Z</dcterms:created>
  <dcterms:modified xsi:type="dcterms:W3CDTF">2025-11-20T15:15:59Z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76c56-7906-4b5b-aa9e-bc6dfecc55b4_Enabled">
    <vt:lpwstr>true</vt:lpwstr>
  </property>
  <property fmtid="{D5CDD505-2E9C-101B-9397-08002B2CF9AE}" pid="3" name="MSIP_Label_da076c56-7906-4b5b-aa9e-bc6dfecc55b4_SetDate">
    <vt:lpwstr>2025-11-02T16:32:14Z</vt:lpwstr>
  </property>
  <property fmtid="{D5CDD505-2E9C-101B-9397-08002B2CF9AE}" pid="4" name="MSIP_Label_da076c56-7906-4b5b-aa9e-bc6dfecc55b4_Method">
    <vt:lpwstr>Standard</vt:lpwstr>
  </property>
  <property fmtid="{D5CDD505-2E9C-101B-9397-08002B2CF9AE}" pid="5" name="MSIP_Label_da076c56-7906-4b5b-aa9e-bc6dfecc55b4_Name">
    <vt:lpwstr>defa4170-0d19-0005-0004-bc88714345d2</vt:lpwstr>
  </property>
  <property fmtid="{D5CDD505-2E9C-101B-9397-08002B2CF9AE}" pid="6" name="MSIP_Label_da076c56-7906-4b5b-aa9e-bc6dfecc55b4_SiteId">
    <vt:lpwstr>2545989e-0855-40fc-8985-8d3bd416e901</vt:lpwstr>
  </property>
  <property fmtid="{D5CDD505-2E9C-101B-9397-08002B2CF9AE}" pid="7" name="MSIP_Label_da076c56-7906-4b5b-aa9e-bc6dfecc55b4_ActionId">
    <vt:lpwstr>b9f35fe7-43fa-4a12-9f1e-21dcbde8edbf</vt:lpwstr>
  </property>
  <property fmtid="{D5CDD505-2E9C-101B-9397-08002B2CF9AE}" pid="8" name="MSIP_Label_da076c56-7906-4b5b-aa9e-bc6dfecc55b4_ContentBits">
    <vt:lpwstr>0</vt:lpwstr>
  </property>
  <property fmtid="{D5CDD505-2E9C-101B-9397-08002B2CF9AE}" pid="9" name="MSIP_Label_da076c56-7906-4b5b-aa9e-bc6dfecc55b4_Tag">
    <vt:lpwstr>50, 3, 0, 1</vt:lpwstr>
  </property>
</Properties>
</file>