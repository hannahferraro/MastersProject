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liveuvi-my.sharepoint.com/personal/hannah_ferraro_students_uvi_edu/Documents/Thesis/"/>
    </mc:Choice>
  </mc:AlternateContent>
  <xr:revisionPtr revIDLastSave="5978" documentId="8_{F7F3CF25-53ED-DC4A-9015-4CA8494A3007}" xr6:coauthVersionLast="47" xr6:coauthVersionMax="47" xr10:uidLastSave="{171573ED-A82D-49EB-9CF3-BC18C9EA7836}"/>
  <bookViews>
    <workbookView xWindow="2440" yWindow="800" windowWidth="25480" windowHeight="16140" activeTab="1" xr2:uid="{0F8887E0-AA96-0346-902E-302BD8DFE835}"/>
  </bookViews>
  <sheets>
    <sheet name="fullseddata" sheetId="1" r:id="rId1"/>
    <sheet name="metadata" sheetId="2" r:id="rId2"/>
  </sheets>
  <definedNames>
    <definedName name="_xlnm._FilterDatabase" localSheetId="0" hidden="1">fullseddata!$A$1:$V$1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1" i="1" l="1"/>
  <c r="L330" i="1"/>
  <c r="L310" i="1"/>
  <c r="I332" i="1"/>
  <c r="S530" i="1"/>
  <c r="S532" i="1"/>
  <c r="P530" i="1"/>
  <c r="P532" i="1"/>
  <c r="P534" i="1"/>
  <c r="P536" i="1"/>
  <c r="P538" i="1"/>
  <c r="P540" i="1"/>
  <c r="P542" i="1"/>
  <c r="P544" i="1"/>
  <c r="P546" i="1"/>
  <c r="P548" i="1"/>
  <c r="P550" i="1"/>
  <c r="P552" i="1"/>
  <c r="P554" i="1"/>
  <c r="P556" i="1"/>
  <c r="P558" i="1"/>
  <c r="P560" i="1"/>
  <c r="P562" i="1"/>
  <c r="P564" i="1"/>
  <c r="P566" i="1"/>
  <c r="P568" i="1"/>
  <c r="P570" i="1"/>
  <c r="P572" i="1"/>
  <c r="P574" i="1"/>
  <c r="P576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I532" i="1"/>
  <c r="K2" i="1"/>
  <c r="P388" i="1"/>
  <c r="P390" i="1"/>
  <c r="P392" i="1"/>
  <c r="P394" i="1"/>
  <c r="P396" i="1"/>
  <c r="P398" i="1"/>
  <c r="P400" i="1"/>
  <c r="P402" i="1"/>
  <c r="P404" i="1"/>
  <c r="P406" i="1"/>
  <c r="P408" i="1"/>
  <c r="P410" i="1"/>
  <c r="P412" i="1"/>
  <c r="P414" i="1"/>
  <c r="P416" i="1"/>
  <c r="P418" i="1"/>
  <c r="P420" i="1"/>
  <c r="P422" i="1"/>
  <c r="P424" i="1"/>
  <c r="P426" i="1"/>
  <c r="P428" i="1"/>
  <c r="P430" i="1"/>
  <c r="P432" i="1"/>
  <c r="P386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P244" i="1"/>
  <c r="P246" i="1"/>
  <c r="P248" i="1"/>
  <c r="P250" i="1"/>
  <c r="P252" i="1"/>
  <c r="P254" i="1"/>
  <c r="P256" i="1"/>
  <c r="P258" i="1"/>
  <c r="P260" i="1"/>
  <c r="P262" i="1"/>
  <c r="P264" i="1"/>
  <c r="P266" i="1"/>
  <c r="P268" i="1"/>
  <c r="P270" i="1"/>
  <c r="P272" i="1"/>
  <c r="P274" i="1"/>
  <c r="P276" i="1"/>
  <c r="P278" i="1"/>
  <c r="P280" i="1"/>
  <c r="P282" i="1"/>
  <c r="P284" i="1"/>
  <c r="P286" i="1"/>
  <c r="P288" i="1"/>
  <c r="P242" i="1"/>
  <c r="P152" i="1"/>
  <c r="P150" i="1"/>
  <c r="P164" i="1"/>
  <c r="P162" i="1"/>
  <c r="P240" i="1"/>
  <c r="P238" i="1"/>
  <c r="P236" i="1"/>
  <c r="P230" i="1"/>
  <c r="P228" i="1"/>
  <c r="P226" i="1"/>
  <c r="P224" i="1"/>
  <c r="P222" i="1"/>
  <c r="P220" i="1"/>
  <c r="P218" i="1"/>
  <c r="P212" i="1"/>
  <c r="P210" i="1"/>
  <c r="P208" i="1"/>
  <c r="P206" i="1"/>
  <c r="P204" i="1"/>
  <c r="P202" i="1"/>
  <c r="P200" i="1"/>
  <c r="P198" i="1"/>
  <c r="P196" i="1"/>
  <c r="P194" i="1"/>
  <c r="AG238" i="1"/>
  <c r="S166" i="1"/>
  <c r="P146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P98" i="1"/>
  <c r="P100" i="1"/>
  <c r="P102" i="1"/>
  <c r="P104" i="1"/>
  <c r="P106" i="1"/>
  <c r="P108" i="1"/>
  <c r="P110" i="1"/>
  <c r="P112" i="1"/>
  <c r="P114" i="1"/>
  <c r="P116" i="1"/>
  <c r="P118" i="1"/>
  <c r="P120" i="1"/>
  <c r="P122" i="1"/>
  <c r="P124" i="1"/>
  <c r="P126" i="1"/>
  <c r="P128" i="1"/>
  <c r="P130" i="1"/>
  <c r="P132" i="1"/>
  <c r="P134" i="1"/>
  <c r="P136" i="1"/>
  <c r="P138" i="1"/>
  <c r="P140" i="1"/>
  <c r="P142" i="1"/>
  <c r="P144" i="1"/>
  <c r="S168" i="1"/>
  <c r="T168" i="1"/>
  <c r="U168" i="1"/>
  <c r="AD193" i="1"/>
  <c r="AC193" i="1"/>
  <c r="AB193" i="1"/>
  <c r="AA193" i="1"/>
  <c r="Z193" i="1"/>
  <c r="Y193" i="1"/>
  <c r="X193" i="1"/>
  <c r="W193" i="1"/>
  <c r="AD173" i="1"/>
  <c r="AC173" i="1"/>
  <c r="AB173" i="1"/>
  <c r="AA173" i="1"/>
  <c r="Z173" i="1"/>
  <c r="Y173" i="1"/>
  <c r="X173" i="1"/>
  <c r="AD171" i="1"/>
  <c r="AC171" i="1"/>
  <c r="AB171" i="1"/>
  <c r="AA171" i="1"/>
  <c r="Z171" i="1"/>
  <c r="Y171" i="1"/>
  <c r="X171" i="1"/>
  <c r="AD157" i="1"/>
  <c r="AC157" i="1"/>
  <c r="AB157" i="1"/>
  <c r="AA157" i="1"/>
  <c r="Z157" i="1"/>
  <c r="Y157" i="1"/>
  <c r="X157" i="1"/>
  <c r="AD155" i="1"/>
  <c r="AC155" i="1"/>
  <c r="AB155" i="1"/>
  <c r="AA155" i="1"/>
  <c r="Z155" i="1"/>
  <c r="Y155" i="1"/>
  <c r="X155" i="1"/>
  <c r="AD117" i="1"/>
  <c r="AC117" i="1"/>
  <c r="AB117" i="1"/>
  <c r="AA117" i="1"/>
  <c r="Z117" i="1"/>
  <c r="Y117" i="1"/>
  <c r="X117" i="1"/>
  <c r="AD115" i="1"/>
  <c r="AC115" i="1"/>
  <c r="AB115" i="1"/>
  <c r="AA115" i="1"/>
  <c r="Z115" i="1"/>
  <c r="Y115" i="1"/>
  <c r="X115" i="1"/>
  <c r="S592" i="1"/>
  <c r="T592" i="1"/>
  <c r="U592" i="1"/>
  <c r="S594" i="1"/>
  <c r="T594" i="1"/>
  <c r="U594" i="1"/>
  <c r="S596" i="1"/>
  <c r="T596" i="1"/>
  <c r="U596" i="1"/>
  <c r="S598" i="1"/>
  <c r="T598" i="1"/>
  <c r="U598" i="1"/>
  <c r="S600" i="1"/>
  <c r="T600" i="1"/>
  <c r="U600" i="1"/>
  <c r="S602" i="1"/>
  <c r="T602" i="1"/>
  <c r="U602" i="1"/>
  <c r="S604" i="1"/>
  <c r="T604" i="1"/>
  <c r="U604" i="1"/>
  <c r="S606" i="1"/>
  <c r="T606" i="1"/>
  <c r="U606" i="1"/>
  <c r="S608" i="1"/>
  <c r="T608" i="1"/>
  <c r="U608" i="1"/>
  <c r="S610" i="1"/>
  <c r="T610" i="1"/>
  <c r="U610" i="1"/>
  <c r="S612" i="1"/>
  <c r="T612" i="1"/>
  <c r="U612" i="1"/>
  <c r="S614" i="1"/>
  <c r="T614" i="1"/>
  <c r="U614" i="1"/>
  <c r="S616" i="1"/>
  <c r="T616" i="1"/>
  <c r="U616" i="1"/>
  <c r="S618" i="1"/>
  <c r="T618" i="1"/>
  <c r="U618" i="1"/>
  <c r="S620" i="1"/>
  <c r="T620" i="1"/>
  <c r="U620" i="1"/>
  <c r="S622" i="1"/>
  <c r="T622" i="1"/>
  <c r="U622" i="1"/>
  <c r="S624" i="1"/>
  <c r="T624" i="1"/>
  <c r="U624" i="1"/>
  <c r="S626" i="1"/>
  <c r="T626" i="1"/>
  <c r="U626" i="1"/>
  <c r="S628" i="1"/>
  <c r="T628" i="1"/>
  <c r="U628" i="1"/>
  <c r="S630" i="1"/>
  <c r="T630" i="1"/>
  <c r="U630" i="1"/>
  <c r="S632" i="1"/>
  <c r="T632" i="1"/>
  <c r="U632" i="1"/>
  <c r="S634" i="1"/>
  <c r="T634" i="1"/>
  <c r="U634" i="1"/>
  <c r="S636" i="1"/>
  <c r="T636" i="1"/>
  <c r="U636" i="1"/>
  <c r="S638" i="1"/>
  <c r="T638" i="1"/>
  <c r="U638" i="1"/>
  <c r="S640" i="1"/>
  <c r="T640" i="1"/>
  <c r="U640" i="1"/>
  <c r="S642" i="1"/>
  <c r="T642" i="1"/>
  <c r="U642" i="1"/>
  <c r="S644" i="1"/>
  <c r="T644" i="1"/>
  <c r="U644" i="1"/>
  <c r="S646" i="1"/>
  <c r="T646" i="1"/>
  <c r="U646" i="1"/>
  <c r="S648" i="1"/>
  <c r="T648" i="1"/>
  <c r="U648" i="1"/>
  <c r="S650" i="1"/>
  <c r="T650" i="1"/>
  <c r="U650" i="1"/>
  <c r="S652" i="1"/>
  <c r="T652" i="1"/>
  <c r="U652" i="1"/>
  <c r="S654" i="1"/>
  <c r="T654" i="1"/>
  <c r="U654" i="1"/>
  <c r="S656" i="1"/>
  <c r="T656" i="1"/>
  <c r="U656" i="1"/>
  <c r="S658" i="1"/>
  <c r="T658" i="1"/>
  <c r="U658" i="1"/>
  <c r="S660" i="1"/>
  <c r="T660" i="1"/>
  <c r="U660" i="1"/>
  <c r="S662" i="1"/>
  <c r="T662" i="1"/>
  <c r="U662" i="1"/>
  <c r="S664" i="1"/>
  <c r="T664" i="1"/>
  <c r="U664" i="1"/>
  <c r="S666" i="1"/>
  <c r="T666" i="1"/>
  <c r="U666" i="1"/>
  <c r="S668" i="1"/>
  <c r="T668" i="1"/>
  <c r="U668" i="1"/>
  <c r="S670" i="1"/>
  <c r="T670" i="1"/>
  <c r="U670" i="1"/>
  <c r="S672" i="1"/>
  <c r="T672" i="1"/>
  <c r="U672" i="1"/>
  <c r="S674" i="1"/>
  <c r="T674" i="1"/>
  <c r="U674" i="1"/>
  <c r="S676" i="1"/>
  <c r="T676" i="1"/>
  <c r="U676" i="1"/>
  <c r="S678" i="1"/>
  <c r="T678" i="1"/>
  <c r="U678" i="1"/>
  <c r="S680" i="1"/>
  <c r="T680" i="1"/>
  <c r="U680" i="1"/>
  <c r="S682" i="1"/>
  <c r="T682" i="1"/>
  <c r="U682" i="1"/>
  <c r="S684" i="1"/>
  <c r="T684" i="1"/>
  <c r="U684" i="1"/>
  <c r="S686" i="1"/>
  <c r="T686" i="1"/>
  <c r="U686" i="1"/>
  <c r="S688" i="1"/>
  <c r="T688" i="1"/>
  <c r="U688" i="1"/>
  <c r="S690" i="1"/>
  <c r="T690" i="1"/>
  <c r="U690" i="1"/>
  <c r="S692" i="1"/>
  <c r="T692" i="1"/>
  <c r="U692" i="1"/>
  <c r="S694" i="1"/>
  <c r="T694" i="1"/>
  <c r="U694" i="1"/>
  <c r="S696" i="1"/>
  <c r="T696" i="1"/>
  <c r="U696" i="1"/>
  <c r="S698" i="1"/>
  <c r="T698" i="1"/>
  <c r="U698" i="1"/>
  <c r="S700" i="1"/>
  <c r="T700" i="1"/>
  <c r="U700" i="1"/>
  <c r="S702" i="1"/>
  <c r="T702" i="1"/>
  <c r="U702" i="1"/>
  <c r="S704" i="1"/>
  <c r="T704" i="1"/>
  <c r="U704" i="1"/>
  <c r="S706" i="1"/>
  <c r="T706" i="1"/>
  <c r="U706" i="1"/>
  <c r="S708" i="1"/>
  <c r="T708" i="1"/>
  <c r="U708" i="1"/>
  <c r="S710" i="1"/>
  <c r="T710" i="1"/>
  <c r="U710" i="1"/>
  <c r="S712" i="1"/>
  <c r="T712" i="1"/>
  <c r="U712" i="1"/>
  <c r="S714" i="1"/>
  <c r="T714" i="1"/>
  <c r="U714" i="1"/>
  <c r="S716" i="1"/>
  <c r="T716" i="1"/>
  <c r="U716" i="1"/>
  <c r="S718" i="1"/>
  <c r="T718" i="1"/>
  <c r="U718" i="1"/>
  <c r="S720" i="1"/>
  <c r="T720" i="1"/>
  <c r="U720" i="1"/>
  <c r="S590" i="1"/>
  <c r="T590" i="1" s="1"/>
  <c r="U590" i="1" s="1"/>
  <c r="S588" i="1"/>
  <c r="T588" i="1" s="1"/>
  <c r="U588" i="1" s="1"/>
  <c r="S586" i="1"/>
  <c r="T586" i="1" s="1"/>
  <c r="U586" i="1" s="1"/>
  <c r="S584" i="1"/>
  <c r="T584" i="1" s="1"/>
  <c r="U584" i="1" s="1"/>
  <c r="S582" i="1"/>
  <c r="T582" i="1" s="1"/>
  <c r="U582" i="1" s="1"/>
  <c r="S580" i="1"/>
  <c r="T580" i="1" s="1"/>
  <c r="U580" i="1" s="1"/>
  <c r="S578" i="1"/>
  <c r="T578" i="1" s="1"/>
  <c r="U578" i="1" s="1"/>
  <c r="S576" i="1"/>
  <c r="T576" i="1" s="1"/>
  <c r="U576" i="1" s="1"/>
  <c r="S574" i="1"/>
  <c r="T574" i="1" s="1"/>
  <c r="U574" i="1" s="1"/>
  <c r="S572" i="1"/>
  <c r="T572" i="1" s="1"/>
  <c r="U572" i="1" s="1"/>
  <c r="S570" i="1"/>
  <c r="T570" i="1" s="1"/>
  <c r="U570" i="1" s="1"/>
  <c r="S568" i="1"/>
  <c r="T568" i="1" s="1"/>
  <c r="U568" i="1" s="1"/>
  <c r="S566" i="1"/>
  <c r="T566" i="1" s="1"/>
  <c r="U566" i="1" s="1"/>
  <c r="S564" i="1"/>
  <c r="T564" i="1" s="1"/>
  <c r="U564" i="1" s="1"/>
  <c r="S562" i="1"/>
  <c r="T562" i="1" s="1"/>
  <c r="U562" i="1" s="1"/>
  <c r="S560" i="1"/>
  <c r="T560" i="1" s="1"/>
  <c r="U560" i="1" s="1"/>
  <c r="S558" i="1"/>
  <c r="T558" i="1" s="1"/>
  <c r="U558" i="1" s="1"/>
  <c r="S556" i="1"/>
  <c r="T556" i="1" s="1"/>
  <c r="U556" i="1" s="1"/>
  <c r="S554" i="1"/>
  <c r="T554" i="1" s="1"/>
  <c r="U554" i="1" s="1"/>
  <c r="S552" i="1"/>
  <c r="T552" i="1" s="1"/>
  <c r="U552" i="1" s="1"/>
  <c r="S550" i="1"/>
  <c r="T550" i="1" s="1"/>
  <c r="U550" i="1" s="1"/>
  <c r="S548" i="1"/>
  <c r="T548" i="1" s="1"/>
  <c r="U548" i="1" s="1"/>
  <c r="S546" i="1"/>
  <c r="T546" i="1" s="1"/>
  <c r="U546" i="1" s="1"/>
  <c r="S544" i="1"/>
  <c r="T544" i="1" s="1"/>
  <c r="U544" i="1" s="1"/>
  <c r="S542" i="1"/>
  <c r="T542" i="1" s="1"/>
  <c r="U542" i="1" s="1"/>
  <c r="S540" i="1"/>
  <c r="T540" i="1" s="1"/>
  <c r="U540" i="1" s="1"/>
  <c r="S538" i="1"/>
  <c r="T538" i="1" s="1"/>
  <c r="U538" i="1" s="1"/>
  <c r="S536" i="1"/>
  <c r="T536" i="1" s="1"/>
  <c r="U536" i="1" s="1"/>
  <c r="S534" i="1"/>
  <c r="T534" i="1" s="1"/>
  <c r="U534" i="1" s="1"/>
  <c r="T532" i="1"/>
  <c r="U532" i="1" s="1"/>
  <c r="T530" i="1"/>
  <c r="U530" i="1" s="1"/>
  <c r="S528" i="1"/>
  <c r="T528" i="1" s="1"/>
  <c r="U528" i="1" s="1"/>
  <c r="S526" i="1"/>
  <c r="T526" i="1" s="1"/>
  <c r="U526" i="1" s="1"/>
  <c r="S524" i="1"/>
  <c r="T524" i="1" s="1"/>
  <c r="U524" i="1" s="1"/>
  <c r="S522" i="1"/>
  <c r="T522" i="1" s="1"/>
  <c r="U522" i="1" s="1"/>
  <c r="S520" i="1"/>
  <c r="T520" i="1" s="1"/>
  <c r="U520" i="1" s="1"/>
  <c r="S518" i="1"/>
  <c r="T518" i="1" s="1"/>
  <c r="U518" i="1" s="1"/>
  <c r="S516" i="1"/>
  <c r="T516" i="1" s="1"/>
  <c r="U516" i="1" s="1"/>
  <c r="S514" i="1"/>
  <c r="T514" i="1" s="1"/>
  <c r="U514" i="1" s="1"/>
  <c r="S512" i="1"/>
  <c r="T512" i="1" s="1"/>
  <c r="U512" i="1" s="1"/>
  <c r="S510" i="1"/>
  <c r="T510" i="1" s="1"/>
  <c r="U510" i="1" s="1"/>
  <c r="S508" i="1"/>
  <c r="T508" i="1" s="1"/>
  <c r="U508" i="1" s="1"/>
  <c r="S506" i="1"/>
  <c r="T506" i="1" s="1"/>
  <c r="U506" i="1" s="1"/>
  <c r="S504" i="1"/>
  <c r="T504" i="1" s="1"/>
  <c r="U504" i="1" s="1"/>
  <c r="S502" i="1"/>
  <c r="T502" i="1" s="1"/>
  <c r="U502" i="1" s="1"/>
  <c r="S500" i="1"/>
  <c r="T500" i="1" s="1"/>
  <c r="U500" i="1" s="1"/>
  <c r="S498" i="1"/>
  <c r="T498" i="1" s="1"/>
  <c r="U498" i="1" s="1"/>
  <c r="S496" i="1"/>
  <c r="T496" i="1" s="1"/>
  <c r="U496" i="1" s="1"/>
  <c r="S494" i="1"/>
  <c r="T494" i="1" s="1"/>
  <c r="U494" i="1" s="1"/>
  <c r="S492" i="1"/>
  <c r="T492" i="1" s="1"/>
  <c r="U492" i="1" s="1"/>
  <c r="S490" i="1"/>
  <c r="T490" i="1" s="1"/>
  <c r="U490" i="1" s="1"/>
  <c r="S488" i="1"/>
  <c r="T488" i="1" s="1"/>
  <c r="U488" i="1" s="1"/>
  <c r="S486" i="1"/>
  <c r="T486" i="1" s="1"/>
  <c r="U486" i="1" s="1"/>
  <c r="S484" i="1"/>
  <c r="T484" i="1" s="1"/>
  <c r="U484" i="1" s="1"/>
  <c r="S482" i="1"/>
  <c r="T482" i="1" s="1"/>
  <c r="U482" i="1" s="1"/>
  <c r="S480" i="1"/>
  <c r="T480" i="1" s="1"/>
  <c r="U480" i="1" s="1"/>
  <c r="S478" i="1"/>
  <c r="T478" i="1" s="1"/>
  <c r="U478" i="1" s="1"/>
  <c r="S476" i="1"/>
  <c r="T476" i="1" s="1"/>
  <c r="U476" i="1" s="1"/>
  <c r="S474" i="1"/>
  <c r="T474" i="1" s="1"/>
  <c r="U474" i="1" s="1"/>
  <c r="S472" i="1"/>
  <c r="T472" i="1" s="1"/>
  <c r="U472" i="1" s="1"/>
  <c r="S470" i="1"/>
  <c r="T470" i="1" s="1"/>
  <c r="U470" i="1" s="1"/>
  <c r="S468" i="1"/>
  <c r="T468" i="1" s="1"/>
  <c r="U468" i="1" s="1"/>
  <c r="S466" i="1"/>
  <c r="T466" i="1" s="1"/>
  <c r="U466" i="1" s="1"/>
  <c r="S464" i="1"/>
  <c r="T464" i="1" s="1"/>
  <c r="U464" i="1" s="1"/>
  <c r="S462" i="1"/>
  <c r="T462" i="1" s="1"/>
  <c r="U462" i="1" s="1"/>
  <c r="S460" i="1"/>
  <c r="T460" i="1" s="1"/>
  <c r="U460" i="1" s="1"/>
  <c r="S458" i="1"/>
  <c r="T458" i="1" s="1"/>
  <c r="U458" i="1" s="1"/>
  <c r="S456" i="1"/>
  <c r="T456" i="1" s="1"/>
  <c r="U456" i="1" s="1"/>
  <c r="S454" i="1"/>
  <c r="T454" i="1" s="1"/>
  <c r="U454" i="1" s="1"/>
  <c r="S452" i="1"/>
  <c r="T452" i="1" s="1"/>
  <c r="U452" i="1" s="1"/>
  <c r="S450" i="1"/>
  <c r="T450" i="1" s="1"/>
  <c r="U450" i="1" s="1"/>
  <c r="S448" i="1"/>
  <c r="T448" i="1" s="1"/>
  <c r="U448" i="1" s="1"/>
  <c r="S446" i="1"/>
  <c r="T446" i="1" s="1"/>
  <c r="U446" i="1" s="1"/>
  <c r="S444" i="1"/>
  <c r="T444" i="1" s="1"/>
  <c r="U444" i="1" s="1"/>
  <c r="S442" i="1"/>
  <c r="T442" i="1" s="1"/>
  <c r="U442" i="1" s="1"/>
  <c r="S440" i="1"/>
  <c r="T440" i="1" s="1"/>
  <c r="U440" i="1" s="1"/>
  <c r="S438" i="1"/>
  <c r="T438" i="1" s="1"/>
  <c r="U438" i="1" s="1"/>
  <c r="S436" i="1"/>
  <c r="T436" i="1" s="1"/>
  <c r="U436" i="1" s="1"/>
  <c r="S434" i="1"/>
  <c r="T434" i="1" s="1"/>
  <c r="U434" i="1" s="1"/>
  <c r="S432" i="1"/>
  <c r="T432" i="1" s="1"/>
  <c r="U432" i="1" s="1"/>
  <c r="S430" i="1"/>
  <c r="T430" i="1" s="1"/>
  <c r="U430" i="1" s="1"/>
  <c r="S428" i="1"/>
  <c r="T428" i="1" s="1"/>
  <c r="U428" i="1" s="1"/>
  <c r="S426" i="1"/>
  <c r="T426" i="1" s="1"/>
  <c r="U426" i="1" s="1"/>
  <c r="S424" i="1"/>
  <c r="T424" i="1" s="1"/>
  <c r="U424" i="1" s="1"/>
  <c r="S422" i="1"/>
  <c r="T422" i="1" s="1"/>
  <c r="U422" i="1" s="1"/>
  <c r="S420" i="1"/>
  <c r="T420" i="1" s="1"/>
  <c r="U420" i="1" s="1"/>
  <c r="S418" i="1"/>
  <c r="T418" i="1" s="1"/>
  <c r="U418" i="1" s="1"/>
  <c r="S416" i="1"/>
  <c r="T416" i="1" s="1"/>
  <c r="U416" i="1" s="1"/>
  <c r="S414" i="1"/>
  <c r="T414" i="1" s="1"/>
  <c r="U414" i="1" s="1"/>
  <c r="S412" i="1"/>
  <c r="T412" i="1" s="1"/>
  <c r="U412" i="1" s="1"/>
  <c r="S410" i="1"/>
  <c r="T410" i="1" s="1"/>
  <c r="U410" i="1" s="1"/>
  <c r="S408" i="1"/>
  <c r="T408" i="1" s="1"/>
  <c r="U408" i="1" s="1"/>
  <c r="S406" i="1"/>
  <c r="T406" i="1" s="1"/>
  <c r="U406" i="1" s="1"/>
  <c r="S404" i="1"/>
  <c r="T404" i="1" s="1"/>
  <c r="U404" i="1" s="1"/>
  <c r="S402" i="1"/>
  <c r="T402" i="1" s="1"/>
  <c r="U402" i="1" s="1"/>
  <c r="S400" i="1"/>
  <c r="T400" i="1" s="1"/>
  <c r="U400" i="1" s="1"/>
  <c r="S398" i="1"/>
  <c r="T398" i="1" s="1"/>
  <c r="U398" i="1" s="1"/>
  <c r="S396" i="1"/>
  <c r="T396" i="1" s="1"/>
  <c r="U396" i="1" s="1"/>
  <c r="S394" i="1"/>
  <c r="T394" i="1" s="1"/>
  <c r="U394" i="1" s="1"/>
  <c r="S392" i="1"/>
  <c r="T392" i="1" s="1"/>
  <c r="U392" i="1" s="1"/>
  <c r="S390" i="1"/>
  <c r="T390" i="1" s="1"/>
  <c r="U390" i="1" s="1"/>
  <c r="S388" i="1"/>
  <c r="T388" i="1" s="1"/>
  <c r="U388" i="1" s="1"/>
  <c r="S386" i="1"/>
  <c r="T386" i="1" s="1"/>
  <c r="U386" i="1" s="1"/>
  <c r="S384" i="1"/>
  <c r="T384" i="1" s="1"/>
  <c r="U384" i="1" s="1"/>
  <c r="S382" i="1"/>
  <c r="T382" i="1" s="1"/>
  <c r="U382" i="1" s="1"/>
  <c r="S380" i="1"/>
  <c r="T380" i="1" s="1"/>
  <c r="U380" i="1" s="1"/>
  <c r="S378" i="1"/>
  <c r="T378" i="1" s="1"/>
  <c r="U378" i="1" s="1"/>
  <c r="S376" i="1"/>
  <c r="T376" i="1" s="1"/>
  <c r="U376" i="1" s="1"/>
  <c r="S374" i="1"/>
  <c r="T374" i="1" s="1"/>
  <c r="U374" i="1" s="1"/>
  <c r="S372" i="1"/>
  <c r="T372" i="1" s="1"/>
  <c r="U372" i="1" s="1"/>
  <c r="S370" i="1"/>
  <c r="T370" i="1" s="1"/>
  <c r="U370" i="1" s="1"/>
  <c r="S368" i="1"/>
  <c r="T368" i="1" s="1"/>
  <c r="U368" i="1" s="1"/>
  <c r="S366" i="1"/>
  <c r="T366" i="1" s="1"/>
  <c r="U366" i="1" s="1"/>
  <c r="S364" i="1"/>
  <c r="T364" i="1" s="1"/>
  <c r="U364" i="1" s="1"/>
  <c r="S362" i="1"/>
  <c r="T362" i="1" s="1"/>
  <c r="U362" i="1" s="1"/>
  <c r="S360" i="1"/>
  <c r="T360" i="1" s="1"/>
  <c r="U360" i="1" s="1"/>
  <c r="S358" i="1"/>
  <c r="T358" i="1" s="1"/>
  <c r="U358" i="1" s="1"/>
  <c r="S356" i="1"/>
  <c r="T356" i="1" s="1"/>
  <c r="U356" i="1" s="1"/>
  <c r="S354" i="1"/>
  <c r="T354" i="1" s="1"/>
  <c r="U354" i="1" s="1"/>
  <c r="S352" i="1"/>
  <c r="T352" i="1" s="1"/>
  <c r="U352" i="1" s="1"/>
  <c r="S350" i="1"/>
  <c r="T350" i="1" s="1"/>
  <c r="U350" i="1" s="1"/>
  <c r="S348" i="1"/>
  <c r="T348" i="1" s="1"/>
  <c r="U348" i="1" s="1"/>
  <c r="S346" i="1"/>
  <c r="T346" i="1" s="1"/>
  <c r="U346" i="1" s="1"/>
  <c r="S344" i="1"/>
  <c r="T344" i="1" s="1"/>
  <c r="U344" i="1" s="1"/>
  <c r="S342" i="1"/>
  <c r="T342" i="1" s="1"/>
  <c r="U342" i="1" s="1"/>
  <c r="S340" i="1"/>
  <c r="T340" i="1" s="1"/>
  <c r="U340" i="1" s="1"/>
  <c r="S338" i="1"/>
  <c r="T338" i="1" s="1"/>
  <c r="U338" i="1" s="1"/>
  <c r="S336" i="1"/>
  <c r="T336" i="1" s="1"/>
  <c r="U336" i="1" s="1"/>
  <c r="S334" i="1"/>
  <c r="T334" i="1" s="1"/>
  <c r="U334" i="1" s="1"/>
  <c r="S332" i="1"/>
  <c r="T332" i="1" s="1"/>
  <c r="U332" i="1" s="1"/>
  <c r="S330" i="1"/>
  <c r="T330" i="1" s="1"/>
  <c r="U330" i="1" s="1"/>
  <c r="S328" i="1"/>
  <c r="T328" i="1" s="1"/>
  <c r="U328" i="1" s="1"/>
  <c r="S326" i="1"/>
  <c r="T326" i="1" s="1"/>
  <c r="U326" i="1" s="1"/>
  <c r="S324" i="1"/>
  <c r="T324" i="1" s="1"/>
  <c r="U324" i="1" s="1"/>
  <c r="S322" i="1"/>
  <c r="T322" i="1" s="1"/>
  <c r="U322" i="1" s="1"/>
  <c r="S320" i="1"/>
  <c r="T320" i="1" s="1"/>
  <c r="U320" i="1" s="1"/>
  <c r="S318" i="1"/>
  <c r="T318" i="1" s="1"/>
  <c r="U318" i="1" s="1"/>
  <c r="S316" i="1"/>
  <c r="T316" i="1" s="1"/>
  <c r="U316" i="1" s="1"/>
  <c r="S314" i="1"/>
  <c r="T314" i="1" s="1"/>
  <c r="U314" i="1" s="1"/>
  <c r="S312" i="1"/>
  <c r="T312" i="1" s="1"/>
  <c r="U312" i="1" s="1"/>
  <c r="S310" i="1"/>
  <c r="T310" i="1" s="1"/>
  <c r="U310" i="1" s="1"/>
  <c r="S308" i="1"/>
  <c r="T308" i="1" s="1"/>
  <c r="U308" i="1" s="1"/>
  <c r="S306" i="1"/>
  <c r="T306" i="1" s="1"/>
  <c r="U306" i="1" s="1"/>
  <c r="S304" i="1"/>
  <c r="T304" i="1" s="1"/>
  <c r="U304" i="1" s="1"/>
  <c r="S302" i="1"/>
  <c r="T302" i="1" s="1"/>
  <c r="U302" i="1" s="1"/>
  <c r="S300" i="1"/>
  <c r="T300" i="1" s="1"/>
  <c r="U300" i="1" s="1"/>
  <c r="S298" i="1"/>
  <c r="T298" i="1" s="1"/>
  <c r="U298" i="1" s="1"/>
  <c r="S296" i="1"/>
  <c r="T296" i="1" s="1"/>
  <c r="U296" i="1" s="1"/>
  <c r="S294" i="1"/>
  <c r="T294" i="1" s="1"/>
  <c r="U294" i="1" s="1"/>
  <c r="S292" i="1"/>
  <c r="T292" i="1" s="1"/>
  <c r="U292" i="1" s="1"/>
  <c r="S290" i="1"/>
  <c r="T290" i="1" s="1"/>
  <c r="U290" i="1" s="1"/>
  <c r="S288" i="1"/>
  <c r="T288" i="1" s="1"/>
  <c r="U288" i="1" s="1"/>
  <c r="S286" i="1"/>
  <c r="T286" i="1" s="1"/>
  <c r="U286" i="1" s="1"/>
  <c r="S284" i="1"/>
  <c r="T284" i="1" s="1"/>
  <c r="U284" i="1" s="1"/>
  <c r="S282" i="1"/>
  <c r="T282" i="1" s="1"/>
  <c r="U282" i="1" s="1"/>
  <c r="S280" i="1"/>
  <c r="T280" i="1" s="1"/>
  <c r="U280" i="1" s="1"/>
  <c r="S278" i="1"/>
  <c r="T278" i="1" s="1"/>
  <c r="U278" i="1" s="1"/>
  <c r="S276" i="1"/>
  <c r="T276" i="1" s="1"/>
  <c r="U276" i="1" s="1"/>
  <c r="S274" i="1"/>
  <c r="T274" i="1" s="1"/>
  <c r="U274" i="1" s="1"/>
  <c r="S272" i="1"/>
  <c r="T272" i="1" s="1"/>
  <c r="U272" i="1" s="1"/>
  <c r="S270" i="1"/>
  <c r="T270" i="1" s="1"/>
  <c r="U270" i="1" s="1"/>
  <c r="S268" i="1"/>
  <c r="T268" i="1" s="1"/>
  <c r="U268" i="1" s="1"/>
  <c r="S266" i="1"/>
  <c r="T266" i="1" s="1"/>
  <c r="U266" i="1" s="1"/>
  <c r="S264" i="1"/>
  <c r="T264" i="1" s="1"/>
  <c r="U264" i="1" s="1"/>
  <c r="S262" i="1"/>
  <c r="T262" i="1" s="1"/>
  <c r="U262" i="1" s="1"/>
  <c r="S260" i="1"/>
  <c r="T260" i="1" s="1"/>
  <c r="U260" i="1" s="1"/>
  <c r="S258" i="1"/>
  <c r="T258" i="1" s="1"/>
  <c r="U258" i="1" s="1"/>
  <c r="S256" i="1"/>
  <c r="T256" i="1" s="1"/>
  <c r="U256" i="1" s="1"/>
  <c r="S254" i="1"/>
  <c r="T254" i="1" s="1"/>
  <c r="U254" i="1" s="1"/>
  <c r="S252" i="1"/>
  <c r="T252" i="1" s="1"/>
  <c r="U252" i="1" s="1"/>
  <c r="S250" i="1"/>
  <c r="T250" i="1" s="1"/>
  <c r="U250" i="1" s="1"/>
  <c r="S248" i="1"/>
  <c r="T248" i="1" s="1"/>
  <c r="U248" i="1" s="1"/>
  <c r="S246" i="1"/>
  <c r="T246" i="1" s="1"/>
  <c r="U246" i="1" s="1"/>
  <c r="S244" i="1"/>
  <c r="T244" i="1" s="1"/>
  <c r="U244" i="1" s="1"/>
  <c r="S242" i="1"/>
  <c r="T242" i="1" s="1"/>
  <c r="U242" i="1" s="1"/>
  <c r="S240" i="1"/>
  <c r="T240" i="1" s="1"/>
  <c r="U240" i="1" s="1"/>
  <c r="S238" i="1"/>
  <c r="T238" i="1" s="1"/>
  <c r="U238" i="1" s="1"/>
  <c r="S236" i="1"/>
  <c r="T236" i="1" s="1"/>
  <c r="U236" i="1" s="1"/>
  <c r="S234" i="1"/>
  <c r="T234" i="1" s="1"/>
  <c r="U234" i="1" s="1"/>
  <c r="S232" i="1"/>
  <c r="T232" i="1" s="1"/>
  <c r="U232" i="1" s="1"/>
  <c r="S230" i="1"/>
  <c r="T230" i="1" s="1"/>
  <c r="U230" i="1" s="1"/>
  <c r="S228" i="1"/>
  <c r="T228" i="1" s="1"/>
  <c r="U228" i="1" s="1"/>
  <c r="S226" i="1"/>
  <c r="T226" i="1" s="1"/>
  <c r="U226" i="1" s="1"/>
  <c r="S224" i="1"/>
  <c r="T224" i="1" s="1"/>
  <c r="U224" i="1" s="1"/>
  <c r="S222" i="1"/>
  <c r="T222" i="1" s="1"/>
  <c r="U222" i="1" s="1"/>
  <c r="S220" i="1"/>
  <c r="T220" i="1" s="1"/>
  <c r="U220" i="1" s="1"/>
  <c r="S218" i="1"/>
  <c r="T218" i="1" s="1"/>
  <c r="U218" i="1" s="1"/>
  <c r="S216" i="1"/>
  <c r="T216" i="1" s="1"/>
  <c r="U216" i="1" s="1"/>
  <c r="S214" i="1"/>
  <c r="T214" i="1" s="1"/>
  <c r="U214" i="1" s="1"/>
  <c r="S212" i="1"/>
  <c r="T212" i="1" s="1"/>
  <c r="U212" i="1" s="1"/>
  <c r="S210" i="1"/>
  <c r="T210" i="1" s="1"/>
  <c r="U210" i="1" s="1"/>
  <c r="S208" i="1"/>
  <c r="T208" i="1" s="1"/>
  <c r="U208" i="1" s="1"/>
  <c r="S206" i="1"/>
  <c r="T206" i="1" s="1"/>
  <c r="U206" i="1" s="1"/>
  <c r="S204" i="1"/>
  <c r="T204" i="1" s="1"/>
  <c r="U204" i="1" s="1"/>
  <c r="S202" i="1"/>
  <c r="T202" i="1" s="1"/>
  <c r="U202" i="1" s="1"/>
  <c r="S200" i="1"/>
  <c r="T200" i="1" s="1"/>
  <c r="U200" i="1" s="1"/>
  <c r="S198" i="1"/>
  <c r="T198" i="1" s="1"/>
  <c r="U198" i="1" s="1"/>
  <c r="S196" i="1"/>
  <c r="T196" i="1" s="1"/>
  <c r="U196" i="1" s="1"/>
  <c r="S194" i="1"/>
  <c r="T194" i="1" s="1"/>
  <c r="U194" i="1" s="1"/>
  <c r="S192" i="1"/>
  <c r="T192" i="1" s="1"/>
  <c r="U192" i="1" s="1"/>
  <c r="S190" i="1"/>
  <c r="T190" i="1" s="1"/>
  <c r="U190" i="1" s="1"/>
  <c r="S188" i="1"/>
  <c r="T188" i="1" s="1"/>
  <c r="U188" i="1" s="1"/>
  <c r="S186" i="1"/>
  <c r="T186" i="1" s="1"/>
  <c r="U186" i="1" s="1"/>
  <c r="S184" i="1"/>
  <c r="T184" i="1" s="1"/>
  <c r="U184" i="1" s="1"/>
  <c r="S182" i="1"/>
  <c r="T182" i="1" s="1"/>
  <c r="U182" i="1" s="1"/>
  <c r="S180" i="1"/>
  <c r="T180" i="1" s="1"/>
  <c r="U180" i="1" s="1"/>
  <c r="S178" i="1"/>
  <c r="T178" i="1" s="1"/>
  <c r="U178" i="1" s="1"/>
  <c r="S176" i="1"/>
  <c r="T176" i="1" s="1"/>
  <c r="U176" i="1" s="1"/>
  <c r="S174" i="1"/>
  <c r="T174" i="1" s="1"/>
  <c r="U174" i="1" s="1"/>
  <c r="S172" i="1"/>
  <c r="T172" i="1" s="1"/>
  <c r="U172" i="1" s="1"/>
  <c r="S170" i="1"/>
  <c r="T170" i="1" s="1"/>
  <c r="U170" i="1" s="1"/>
  <c r="T166" i="1"/>
  <c r="U166" i="1" s="1"/>
  <c r="S164" i="1"/>
  <c r="T164" i="1" s="1"/>
  <c r="U164" i="1" s="1"/>
  <c r="S162" i="1"/>
  <c r="T162" i="1" s="1"/>
  <c r="U162" i="1" s="1"/>
  <c r="S160" i="1"/>
  <c r="T160" i="1" s="1"/>
  <c r="U160" i="1" s="1"/>
  <c r="S158" i="1"/>
  <c r="T158" i="1" s="1"/>
  <c r="U158" i="1" s="1"/>
  <c r="S156" i="1"/>
  <c r="T156" i="1" s="1"/>
  <c r="U156" i="1" s="1"/>
  <c r="S154" i="1"/>
  <c r="T154" i="1" s="1"/>
  <c r="U154" i="1" s="1"/>
  <c r="S152" i="1"/>
  <c r="T152" i="1" s="1"/>
  <c r="U152" i="1" s="1"/>
  <c r="S150" i="1"/>
  <c r="T150" i="1" s="1"/>
  <c r="U150" i="1" s="1"/>
  <c r="S148" i="1"/>
  <c r="T148" i="1" s="1"/>
  <c r="U148" i="1" s="1"/>
  <c r="S146" i="1"/>
  <c r="T146" i="1" s="1"/>
  <c r="U146" i="1" s="1"/>
  <c r="S144" i="1"/>
  <c r="T144" i="1" s="1"/>
  <c r="U144" i="1" s="1"/>
  <c r="S142" i="1"/>
  <c r="T142" i="1" s="1"/>
  <c r="U142" i="1" s="1"/>
  <c r="S140" i="1"/>
  <c r="T140" i="1" s="1"/>
  <c r="U140" i="1" s="1"/>
  <c r="S138" i="1"/>
  <c r="T138" i="1" s="1"/>
  <c r="U138" i="1" s="1"/>
  <c r="S136" i="1"/>
  <c r="T136" i="1" s="1"/>
  <c r="U136" i="1" s="1"/>
  <c r="S134" i="1"/>
  <c r="T134" i="1" s="1"/>
  <c r="U134" i="1" s="1"/>
  <c r="S132" i="1"/>
  <c r="T132" i="1" s="1"/>
  <c r="U132" i="1" s="1"/>
  <c r="S130" i="1"/>
  <c r="T130" i="1" s="1"/>
  <c r="U130" i="1" s="1"/>
  <c r="S128" i="1"/>
  <c r="T128" i="1" s="1"/>
  <c r="U128" i="1" s="1"/>
  <c r="S126" i="1"/>
  <c r="T126" i="1" s="1"/>
  <c r="U126" i="1" s="1"/>
  <c r="S124" i="1"/>
  <c r="T124" i="1" s="1"/>
  <c r="U124" i="1" s="1"/>
  <c r="S122" i="1"/>
  <c r="T122" i="1" s="1"/>
  <c r="U122" i="1" s="1"/>
  <c r="S120" i="1"/>
  <c r="T120" i="1" s="1"/>
  <c r="U120" i="1" s="1"/>
  <c r="S118" i="1"/>
  <c r="T118" i="1" s="1"/>
  <c r="U118" i="1" s="1"/>
  <c r="S116" i="1"/>
  <c r="T116" i="1" s="1"/>
  <c r="U116" i="1" s="1"/>
  <c r="S114" i="1"/>
  <c r="T114" i="1" s="1"/>
  <c r="U114" i="1" s="1"/>
  <c r="S112" i="1"/>
  <c r="T112" i="1" s="1"/>
  <c r="U112" i="1" s="1"/>
  <c r="S110" i="1"/>
  <c r="T110" i="1" s="1"/>
  <c r="U110" i="1" s="1"/>
  <c r="S108" i="1"/>
  <c r="T108" i="1" s="1"/>
  <c r="U108" i="1" s="1"/>
  <c r="S106" i="1"/>
  <c r="T106" i="1" s="1"/>
  <c r="U106" i="1" s="1"/>
  <c r="S104" i="1"/>
  <c r="T104" i="1" s="1"/>
  <c r="U104" i="1" s="1"/>
  <c r="S98" i="1"/>
  <c r="T98" i="1"/>
  <c r="U98" i="1"/>
  <c r="S100" i="1"/>
  <c r="T100" i="1"/>
  <c r="U100" i="1"/>
  <c r="S102" i="1"/>
  <c r="T102" i="1"/>
  <c r="U102" i="1"/>
  <c r="S4" i="1"/>
  <c r="T4" i="1" s="1"/>
  <c r="U4" i="1" s="1"/>
  <c r="S6" i="1"/>
  <c r="T6" i="1" s="1"/>
  <c r="U6" i="1" s="1"/>
  <c r="S8" i="1"/>
  <c r="T8" i="1" s="1"/>
  <c r="U8" i="1" s="1"/>
  <c r="S10" i="1"/>
  <c r="T10" i="1" s="1"/>
  <c r="U10" i="1" s="1"/>
  <c r="S12" i="1"/>
  <c r="T12" i="1" s="1"/>
  <c r="U12" i="1" s="1"/>
  <c r="S14" i="1"/>
  <c r="T14" i="1" s="1"/>
  <c r="U14" i="1" s="1"/>
  <c r="S16" i="1"/>
  <c r="T16" i="1" s="1"/>
  <c r="U16" i="1" s="1"/>
  <c r="S18" i="1"/>
  <c r="T18" i="1" s="1"/>
  <c r="U18" i="1" s="1"/>
  <c r="S20" i="1"/>
  <c r="T20" i="1" s="1"/>
  <c r="U20" i="1" s="1"/>
  <c r="S22" i="1"/>
  <c r="T22" i="1" s="1"/>
  <c r="U22" i="1" s="1"/>
  <c r="S24" i="1"/>
  <c r="T24" i="1" s="1"/>
  <c r="U24" i="1" s="1"/>
  <c r="S26" i="1"/>
  <c r="T26" i="1" s="1"/>
  <c r="U26" i="1" s="1"/>
  <c r="S28" i="1"/>
  <c r="T28" i="1" s="1"/>
  <c r="U28" i="1" s="1"/>
  <c r="S30" i="1"/>
  <c r="T30" i="1" s="1"/>
  <c r="U30" i="1" s="1"/>
  <c r="S32" i="1"/>
  <c r="T32" i="1" s="1"/>
  <c r="U32" i="1" s="1"/>
  <c r="S34" i="1"/>
  <c r="T34" i="1" s="1"/>
  <c r="U34" i="1" s="1"/>
  <c r="S36" i="1"/>
  <c r="T36" i="1" s="1"/>
  <c r="U36" i="1" s="1"/>
  <c r="S38" i="1"/>
  <c r="T38" i="1" s="1"/>
  <c r="U38" i="1" s="1"/>
  <c r="S40" i="1"/>
  <c r="T40" i="1" s="1"/>
  <c r="U40" i="1" s="1"/>
  <c r="S42" i="1"/>
  <c r="T42" i="1" s="1"/>
  <c r="U42" i="1" s="1"/>
  <c r="S44" i="1"/>
  <c r="T44" i="1" s="1"/>
  <c r="U44" i="1" s="1"/>
  <c r="S46" i="1"/>
  <c r="T46" i="1" s="1"/>
  <c r="U46" i="1" s="1"/>
  <c r="S48" i="1"/>
  <c r="T48" i="1" s="1"/>
  <c r="U48" i="1" s="1"/>
  <c r="S50" i="1"/>
  <c r="T50" i="1" s="1"/>
  <c r="U50" i="1" s="1"/>
  <c r="S52" i="1"/>
  <c r="T52" i="1" s="1"/>
  <c r="U52" i="1" s="1"/>
  <c r="S54" i="1"/>
  <c r="T54" i="1" s="1"/>
  <c r="U54" i="1" s="1"/>
  <c r="S56" i="1"/>
  <c r="T56" i="1" s="1"/>
  <c r="U56" i="1" s="1"/>
  <c r="S58" i="1"/>
  <c r="T58" i="1" s="1"/>
  <c r="U58" i="1" s="1"/>
  <c r="S60" i="1"/>
  <c r="T60" i="1" s="1"/>
  <c r="U60" i="1" s="1"/>
  <c r="S62" i="1"/>
  <c r="T62" i="1" s="1"/>
  <c r="U62" i="1" s="1"/>
  <c r="S64" i="1"/>
  <c r="T64" i="1" s="1"/>
  <c r="U64" i="1" s="1"/>
  <c r="S66" i="1"/>
  <c r="T66" i="1" s="1"/>
  <c r="U66" i="1" s="1"/>
  <c r="S68" i="1"/>
  <c r="T68" i="1" s="1"/>
  <c r="U68" i="1" s="1"/>
  <c r="S70" i="1"/>
  <c r="T70" i="1" s="1"/>
  <c r="U70" i="1" s="1"/>
  <c r="S72" i="1"/>
  <c r="T72" i="1" s="1"/>
  <c r="U72" i="1" s="1"/>
  <c r="S74" i="1"/>
  <c r="T74" i="1" s="1"/>
  <c r="U74" i="1" s="1"/>
  <c r="S76" i="1"/>
  <c r="T76" i="1" s="1"/>
  <c r="U76" i="1" s="1"/>
  <c r="S78" i="1"/>
  <c r="T78" i="1" s="1"/>
  <c r="U78" i="1" s="1"/>
  <c r="S80" i="1"/>
  <c r="T80" i="1" s="1"/>
  <c r="U80" i="1" s="1"/>
  <c r="S82" i="1"/>
  <c r="T82" i="1" s="1"/>
  <c r="U82" i="1" s="1"/>
  <c r="S84" i="1"/>
  <c r="T84" i="1" s="1"/>
  <c r="U84" i="1" s="1"/>
  <c r="S86" i="1"/>
  <c r="T86" i="1" s="1"/>
  <c r="U86" i="1" s="1"/>
  <c r="S88" i="1"/>
  <c r="T88" i="1" s="1"/>
  <c r="U88" i="1" s="1"/>
  <c r="S90" i="1"/>
  <c r="T90" i="1" s="1"/>
  <c r="U90" i="1" s="1"/>
  <c r="S92" i="1"/>
  <c r="T92" i="1" s="1"/>
  <c r="U92" i="1" s="1"/>
  <c r="S94" i="1"/>
  <c r="T94" i="1" s="1"/>
  <c r="U94" i="1" s="1"/>
  <c r="S96" i="1"/>
  <c r="S2" i="1"/>
  <c r="T2" i="1" s="1"/>
  <c r="U2" i="1" s="1"/>
  <c r="I590" i="1"/>
  <c r="L590" i="1"/>
  <c r="I591" i="1"/>
  <c r="L591" i="1"/>
  <c r="I592" i="1"/>
  <c r="L592" i="1"/>
  <c r="V592" i="1" s="1"/>
  <c r="I593" i="1"/>
  <c r="L593" i="1"/>
  <c r="I594" i="1"/>
  <c r="L594" i="1"/>
  <c r="V594" i="1" s="1"/>
  <c r="I595" i="1"/>
  <c r="L595" i="1"/>
  <c r="I596" i="1"/>
  <c r="L596" i="1"/>
  <c r="V596" i="1" s="1"/>
  <c r="I597" i="1"/>
  <c r="L597" i="1"/>
  <c r="I598" i="1"/>
  <c r="L598" i="1"/>
  <c r="V598" i="1" s="1"/>
  <c r="I599" i="1"/>
  <c r="L599" i="1"/>
  <c r="I600" i="1"/>
  <c r="L600" i="1"/>
  <c r="V600" i="1" s="1"/>
  <c r="I601" i="1"/>
  <c r="L601" i="1"/>
  <c r="I602" i="1"/>
  <c r="L602" i="1"/>
  <c r="V602" i="1" s="1"/>
  <c r="I603" i="1"/>
  <c r="L603" i="1"/>
  <c r="I604" i="1"/>
  <c r="L604" i="1"/>
  <c r="V604" i="1" s="1"/>
  <c r="I605" i="1"/>
  <c r="L605" i="1"/>
  <c r="I606" i="1"/>
  <c r="L606" i="1"/>
  <c r="V606" i="1" s="1"/>
  <c r="I607" i="1"/>
  <c r="L607" i="1"/>
  <c r="I608" i="1"/>
  <c r="L608" i="1"/>
  <c r="V608" i="1" s="1"/>
  <c r="I609" i="1"/>
  <c r="L609" i="1"/>
  <c r="I610" i="1"/>
  <c r="L610" i="1"/>
  <c r="V610" i="1" s="1"/>
  <c r="I611" i="1"/>
  <c r="L611" i="1"/>
  <c r="I612" i="1"/>
  <c r="L612" i="1"/>
  <c r="V612" i="1" s="1"/>
  <c r="I613" i="1"/>
  <c r="L613" i="1"/>
  <c r="I614" i="1"/>
  <c r="L614" i="1"/>
  <c r="V614" i="1" s="1"/>
  <c r="I615" i="1"/>
  <c r="L615" i="1"/>
  <c r="I616" i="1"/>
  <c r="L616" i="1"/>
  <c r="V616" i="1" s="1"/>
  <c r="I617" i="1"/>
  <c r="L617" i="1"/>
  <c r="I618" i="1"/>
  <c r="L618" i="1"/>
  <c r="V618" i="1" s="1"/>
  <c r="I619" i="1"/>
  <c r="L619" i="1"/>
  <c r="I620" i="1"/>
  <c r="L620" i="1"/>
  <c r="V620" i="1" s="1"/>
  <c r="I621" i="1"/>
  <c r="L621" i="1"/>
  <c r="I622" i="1"/>
  <c r="L622" i="1"/>
  <c r="V622" i="1" s="1"/>
  <c r="I623" i="1"/>
  <c r="L623" i="1"/>
  <c r="I624" i="1"/>
  <c r="L624" i="1"/>
  <c r="V624" i="1" s="1"/>
  <c r="I625" i="1"/>
  <c r="L625" i="1"/>
  <c r="I626" i="1"/>
  <c r="L626" i="1"/>
  <c r="V626" i="1" s="1"/>
  <c r="I627" i="1"/>
  <c r="L627" i="1"/>
  <c r="I628" i="1"/>
  <c r="L628" i="1"/>
  <c r="V628" i="1" s="1"/>
  <c r="I629" i="1"/>
  <c r="L629" i="1"/>
  <c r="I630" i="1"/>
  <c r="L630" i="1"/>
  <c r="V630" i="1" s="1"/>
  <c r="I631" i="1"/>
  <c r="L631" i="1"/>
  <c r="I632" i="1"/>
  <c r="L632" i="1"/>
  <c r="V632" i="1" s="1"/>
  <c r="I633" i="1"/>
  <c r="L633" i="1"/>
  <c r="I634" i="1"/>
  <c r="L634" i="1"/>
  <c r="V634" i="1" s="1"/>
  <c r="I635" i="1"/>
  <c r="L635" i="1"/>
  <c r="I636" i="1"/>
  <c r="L636" i="1"/>
  <c r="V636" i="1" s="1"/>
  <c r="I637" i="1"/>
  <c r="L637" i="1"/>
  <c r="I638" i="1"/>
  <c r="L638" i="1"/>
  <c r="V638" i="1" s="1"/>
  <c r="I639" i="1"/>
  <c r="L639" i="1"/>
  <c r="I640" i="1"/>
  <c r="L640" i="1"/>
  <c r="V640" i="1" s="1"/>
  <c r="I641" i="1"/>
  <c r="L641" i="1"/>
  <c r="I642" i="1"/>
  <c r="L642" i="1"/>
  <c r="V642" i="1" s="1"/>
  <c r="I643" i="1"/>
  <c r="L643" i="1"/>
  <c r="I644" i="1"/>
  <c r="L644" i="1"/>
  <c r="V644" i="1" s="1"/>
  <c r="I645" i="1"/>
  <c r="L645" i="1"/>
  <c r="I646" i="1"/>
  <c r="L646" i="1"/>
  <c r="V646" i="1" s="1"/>
  <c r="I647" i="1"/>
  <c r="L647" i="1"/>
  <c r="I648" i="1"/>
  <c r="L648" i="1"/>
  <c r="V648" i="1" s="1"/>
  <c r="I649" i="1"/>
  <c r="L649" i="1"/>
  <c r="I650" i="1"/>
  <c r="L650" i="1"/>
  <c r="V650" i="1" s="1"/>
  <c r="I651" i="1"/>
  <c r="L651" i="1"/>
  <c r="I652" i="1"/>
  <c r="L652" i="1"/>
  <c r="V652" i="1" s="1"/>
  <c r="I653" i="1"/>
  <c r="L653" i="1"/>
  <c r="I654" i="1"/>
  <c r="L654" i="1"/>
  <c r="V654" i="1" s="1"/>
  <c r="I655" i="1"/>
  <c r="L655" i="1"/>
  <c r="I656" i="1"/>
  <c r="L656" i="1"/>
  <c r="V656" i="1" s="1"/>
  <c r="I657" i="1"/>
  <c r="L657" i="1"/>
  <c r="I658" i="1"/>
  <c r="L658" i="1"/>
  <c r="V658" i="1" s="1"/>
  <c r="I659" i="1"/>
  <c r="L659" i="1"/>
  <c r="I660" i="1"/>
  <c r="L660" i="1"/>
  <c r="V660" i="1" s="1"/>
  <c r="I661" i="1"/>
  <c r="L661" i="1"/>
  <c r="I662" i="1"/>
  <c r="L662" i="1"/>
  <c r="V662" i="1" s="1"/>
  <c r="I663" i="1"/>
  <c r="L663" i="1"/>
  <c r="I664" i="1"/>
  <c r="L664" i="1"/>
  <c r="V664" i="1" s="1"/>
  <c r="I665" i="1"/>
  <c r="L665" i="1"/>
  <c r="I666" i="1"/>
  <c r="L666" i="1"/>
  <c r="V666" i="1" s="1"/>
  <c r="I667" i="1"/>
  <c r="L667" i="1"/>
  <c r="I668" i="1"/>
  <c r="L668" i="1"/>
  <c r="V668" i="1" s="1"/>
  <c r="I669" i="1"/>
  <c r="L669" i="1"/>
  <c r="I670" i="1"/>
  <c r="L670" i="1"/>
  <c r="V670" i="1" s="1"/>
  <c r="I671" i="1"/>
  <c r="L671" i="1"/>
  <c r="I672" i="1"/>
  <c r="L672" i="1"/>
  <c r="V672" i="1" s="1"/>
  <c r="I673" i="1"/>
  <c r="L673" i="1"/>
  <c r="I674" i="1"/>
  <c r="L674" i="1"/>
  <c r="V674" i="1" s="1"/>
  <c r="I675" i="1"/>
  <c r="L675" i="1"/>
  <c r="I676" i="1"/>
  <c r="L676" i="1"/>
  <c r="V676" i="1" s="1"/>
  <c r="I677" i="1"/>
  <c r="L677" i="1"/>
  <c r="I678" i="1"/>
  <c r="L678" i="1"/>
  <c r="V678" i="1" s="1"/>
  <c r="I679" i="1"/>
  <c r="L679" i="1"/>
  <c r="I680" i="1"/>
  <c r="L680" i="1"/>
  <c r="V680" i="1" s="1"/>
  <c r="I681" i="1"/>
  <c r="L681" i="1"/>
  <c r="I682" i="1"/>
  <c r="L682" i="1"/>
  <c r="V682" i="1" s="1"/>
  <c r="I683" i="1"/>
  <c r="L683" i="1"/>
  <c r="I684" i="1"/>
  <c r="L684" i="1"/>
  <c r="V684" i="1" s="1"/>
  <c r="I685" i="1"/>
  <c r="L685" i="1"/>
  <c r="I686" i="1"/>
  <c r="L686" i="1"/>
  <c r="V686" i="1" s="1"/>
  <c r="I687" i="1"/>
  <c r="L687" i="1"/>
  <c r="I688" i="1"/>
  <c r="L688" i="1"/>
  <c r="V688" i="1" s="1"/>
  <c r="I689" i="1"/>
  <c r="L689" i="1"/>
  <c r="I690" i="1"/>
  <c r="L690" i="1"/>
  <c r="V690" i="1" s="1"/>
  <c r="I691" i="1"/>
  <c r="L691" i="1"/>
  <c r="I692" i="1"/>
  <c r="L692" i="1"/>
  <c r="V692" i="1" s="1"/>
  <c r="I693" i="1"/>
  <c r="L693" i="1"/>
  <c r="I694" i="1"/>
  <c r="L694" i="1"/>
  <c r="V694" i="1" s="1"/>
  <c r="I695" i="1"/>
  <c r="L695" i="1"/>
  <c r="I696" i="1"/>
  <c r="L696" i="1"/>
  <c r="V696" i="1" s="1"/>
  <c r="I697" i="1"/>
  <c r="L697" i="1"/>
  <c r="I698" i="1"/>
  <c r="L698" i="1"/>
  <c r="V698" i="1" s="1"/>
  <c r="I699" i="1"/>
  <c r="L699" i="1"/>
  <c r="I700" i="1"/>
  <c r="L700" i="1"/>
  <c r="V700" i="1" s="1"/>
  <c r="I701" i="1"/>
  <c r="L701" i="1"/>
  <c r="I702" i="1"/>
  <c r="L702" i="1"/>
  <c r="V702" i="1" s="1"/>
  <c r="I703" i="1"/>
  <c r="L703" i="1"/>
  <c r="I704" i="1"/>
  <c r="L704" i="1"/>
  <c r="V704" i="1" s="1"/>
  <c r="I705" i="1"/>
  <c r="L705" i="1"/>
  <c r="I706" i="1"/>
  <c r="L706" i="1"/>
  <c r="V706" i="1" s="1"/>
  <c r="I707" i="1"/>
  <c r="L707" i="1"/>
  <c r="I708" i="1"/>
  <c r="L708" i="1"/>
  <c r="V708" i="1" s="1"/>
  <c r="I709" i="1"/>
  <c r="L709" i="1"/>
  <c r="I710" i="1"/>
  <c r="L710" i="1"/>
  <c r="V710" i="1" s="1"/>
  <c r="I711" i="1"/>
  <c r="L711" i="1"/>
  <c r="I712" i="1"/>
  <c r="L712" i="1"/>
  <c r="V712" i="1" s="1"/>
  <c r="I713" i="1"/>
  <c r="L713" i="1"/>
  <c r="I714" i="1"/>
  <c r="L714" i="1"/>
  <c r="V714" i="1" s="1"/>
  <c r="I715" i="1"/>
  <c r="L715" i="1"/>
  <c r="I716" i="1"/>
  <c r="L716" i="1"/>
  <c r="V716" i="1" s="1"/>
  <c r="I717" i="1"/>
  <c r="L717" i="1"/>
  <c r="I718" i="1"/>
  <c r="L718" i="1"/>
  <c r="V718" i="1" s="1"/>
  <c r="I719" i="1"/>
  <c r="L719" i="1"/>
  <c r="I720" i="1"/>
  <c r="L720" i="1"/>
  <c r="V720" i="1" s="1"/>
  <c r="I721" i="1"/>
  <c r="L721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I310" i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I331" i="1"/>
  <c r="L332" i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L344" i="1" s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L368" i="1" s="1"/>
  <c r="I369" i="1"/>
  <c r="L369" i="1" s="1"/>
  <c r="I370" i="1"/>
  <c r="L370" i="1" s="1"/>
  <c r="I371" i="1"/>
  <c r="L371" i="1" s="1"/>
  <c r="I372" i="1"/>
  <c r="L372" i="1" s="1"/>
  <c r="I373" i="1"/>
  <c r="L373" i="1" s="1"/>
  <c r="I374" i="1"/>
  <c r="L374" i="1" s="1"/>
  <c r="I375" i="1"/>
  <c r="L375" i="1" s="1"/>
  <c r="I376" i="1"/>
  <c r="L376" i="1" s="1"/>
  <c r="I377" i="1"/>
  <c r="L377" i="1" s="1"/>
  <c r="I378" i="1"/>
  <c r="L378" i="1" s="1"/>
  <c r="I379" i="1"/>
  <c r="L379" i="1" s="1"/>
  <c r="I380" i="1"/>
  <c r="L380" i="1" s="1"/>
  <c r="I381" i="1"/>
  <c r="L381" i="1" s="1"/>
  <c r="I382" i="1"/>
  <c r="L382" i="1" s="1"/>
  <c r="I383" i="1"/>
  <c r="L383" i="1" s="1"/>
  <c r="I384" i="1"/>
  <c r="L384" i="1" s="1"/>
  <c r="I385" i="1"/>
  <c r="L385" i="1" s="1"/>
  <c r="I386" i="1"/>
  <c r="L386" i="1" s="1"/>
  <c r="I387" i="1"/>
  <c r="L387" i="1" s="1"/>
  <c r="I388" i="1"/>
  <c r="L388" i="1" s="1"/>
  <c r="I389" i="1"/>
  <c r="L389" i="1" s="1"/>
  <c r="I390" i="1"/>
  <c r="L390" i="1" s="1"/>
  <c r="I391" i="1"/>
  <c r="L391" i="1" s="1"/>
  <c r="I392" i="1"/>
  <c r="L392" i="1" s="1"/>
  <c r="I393" i="1"/>
  <c r="L393" i="1" s="1"/>
  <c r="I394" i="1"/>
  <c r="L394" i="1" s="1"/>
  <c r="I395" i="1"/>
  <c r="L395" i="1" s="1"/>
  <c r="I396" i="1"/>
  <c r="L396" i="1" s="1"/>
  <c r="I397" i="1"/>
  <c r="L397" i="1" s="1"/>
  <c r="I398" i="1"/>
  <c r="L398" i="1" s="1"/>
  <c r="I399" i="1"/>
  <c r="L399" i="1" s="1"/>
  <c r="I400" i="1"/>
  <c r="L400" i="1" s="1"/>
  <c r="I401" i="1"/>
  <c r="L401" i="1" s="1"/>
  <c r="I402" i="1"/>
  <c r="L402" i="1" s="1"/>
  <c r="I403" i="1"/>
  <c r="L403" i="1" s="1"/>
  <c r="I404" i="1"/>
  <c r="L404" i="1" s="1"/>
  <c r="I405" i="1"/>
  <c r="L405" i="1" s="1"/>
  <c r="I406" i="1"/>
  <c r="L406" i="1" s="1"/>
  <c r="I407" i="1"/>
  <c r="L407" i="1" s="1"/>
  <c r="I408" i="1"/>
  <c r="L408" i="1" s="1"/>
  <c r="I409" i="1"/>
  <c r="L409" i="1" s="1"/>
  <c r="I410" i="1"/>
  <c r="L410" i="1" s="1"/>
  <c r="I411" i="1"/>
  <c r="L411" i="1" s="1"/>
  <c r="I412" i="1"/>
  <c r="L412" i="1" s="1"/>
  <c r="I413" i="1"/>
  <c r="L413" i="1" s="1"/>
  <c r="I414" i="1"/>
  <c r="L414" i="1" s="1"/>
  <c r="I415" i="1"/>
  <c r="L415" i="1" s="1"/>
  <c r="I416" i="1"/>
  <c r="L416" i="1" s="1"/>
  <c r="I417" i="1"/>
  <c r="L417" i="1" s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L424" i="1" s="1"/>
  <c r="I425" i="1"/>
  <c r="L425" i="1" s="1"/>
  <c r="I426" i="1"/>
  <c r="L426" i="1" s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L434" i="1" s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L447" i="1" s="1"/>
  <c r="I448" i="1"/>
  <c r="L448" i="1" s="1"/>
  <c r="I449" i="1"/>
  <c r="L449" i="1" s="1"/>
  <c r="I450" i="1"/>
  <c r="L450" i="1" s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L458" i="1" s="1"/>
  <c r="I459" i="1"/>
  <c r="L459" i="1" s="1"/>
  <c r="I460" i="1"/>
  <c r="L460" i="1" s="1"/>
  <c r="I461" i="1"/>
  <c r="L461" i="1" s="1"/>
  <c r="I462" i="1"/>
  <c r="L462" i="1" s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L468" i="1" s="1"/>
  <c r="I469" i="1"/>
  <c r="L469" i="1" s="1"/>
  <c r="I470" i="1"/>
  <c r="L470" i="1" s="1"/>
  <c r="I471" i="1"/>
  <c r="L471" i="1" s="1"/>
  <c r="I472" i="1"/>
  <c r="L472" i="1" s="1"/>
  <c r="I473" i="1"/>
  <c r="L473" i="1" s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L496" i="1" s="1"/>
  <c r="I497" i="1"/>
  <c r="L497" i="1" s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L508" i="1" s="1"/>
  <c r="I509" i="1"/>
  <c r="L509" i="1" s="1"/>
  <c r="I510" i="1"/>
  <c r="L510" i="1" s="1"/>
  <c r="I511" i="1"/>
  <c r="L511" i="1" s="1"/>
  <c r="I512" i="1"/>
  <c r="L512" i="1" s="1"/>
  <c r="I513" i="1"/>
  <c r="L513" i="1" s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L519" i="1" s="1"/>
  <c r="I520" i="1"/>
  <c r="L520" i="1" s="1"/>
  <c r="I521" i="1"/>
  <c r="L521" i="1" s="1"/>
  <c r="I522" i="1"/>
  <c r="L522" i="1" s="1"/>
  <c r="I523" i="1"/>
  <c r="L523" i="1" s="1"/>
  <c r="I524" i="1"/>
  <c r="L524" i="1" s="1"/>
  <c r="I525" i="1"/>
  <c r="L525" i="1" s="1"/>
  <c r="I526" i="1"/>
  <c r="L526" i="1" s="1"/>
  <c r="I527" i="1"/>
  <c r="L527" i="1" s="1"/>
  <c r="I528" i="1"/>
  <c r="L528" i="1" s="1"/>
  <c r="I529" i="1"/>
  <c r="L529" i="1" s="1"/>
  <c r="I530" i="1"/>
  <c r="L530" i="1" s="1"/>
  <c r="I531" i="1"/>
  <c r="L531" i="1" s="1"/>
  <c r="L532" i="1"/>
  <c r="I533" i="1"/>
  <c r="L533" i="1" s="1"/>
  <c r="I534" i="1"/>
  <c r="L534" i="1" s="1"/>
  <c r="I535" i="1"/>
  <c r="L535" i="1" s="1"/>
  <c r="I536" i="1"/>
  <c r="L536" i="1" s="1"/>
  <c r="I537" i="1"/>
  <c r="L537" i="1" s="1"/>
  <c r="I538" i="1"/>
  <c r="L538" i="1" s="1"/>
  <c r="I539" i="1"/>
  <c r="L539" i="1" s="1"/>
  <c r="I540" i="1"/>
  <c r="L540" i="1" s="1"/>
  <c r="I541" i="1"/>
  <c r="L541" i="1" s="1"/>
  <c r="I542" i="1"/>
  <c r="L542" i="1" s="1"/>
  <c r="I543" i="1"/>
  <c r="L543" i="1" s="1"/>
  <c r="I544" i="1"/>
  <c r="L544" i="1" s="1"/>
  <c r="I545" i="1"/>
  <c r="L545" i="1" s="1"/>
  <c r="I546" i="1"/>
  <c r="L546" i="1" s="1"/>
  <c r="I547" i="1"/>
  <c r="L547" i="1" s="1"/>
  <c r="I548" i="1"/>
  <c r="L548" i="1" s="1"/>
  <c r="I549" i="1"/>
  <c r="L549" i="1" s="1"/>
  <c r="I550" i="1"/>
  <c r="L550" i="1" s="1"/>
  <c r="I551" i="1"/>
  <c r="L551" i="1" s="1"/>
  <c r="I552" i="1"/>
  <c r="L552" i="1" s="1"/>
  <c r="I553" i="1"/>
  <c r="L553" i="1" s="1"/>
  <c r="I554" i="1"/>
  <c r="L554" i="1" s="1"/>
  <c r="I555" i="1"/>
  <c r="L555" i="1" s="1"/>
  <c r="I556" i="1"/>
  <c r="L556" i="1" s="1"/>
  <c r="I557" i="1"/>
  <c r="L557" i="1" s="1"/>
  <c r="I558" i="1"/>
  <c r="L558" i="1" s="1"/>
  <c r="I559" i="1"/>
  <c r="L559" i="1" s="1"/>
  <c r="I560" i="1"/>
  <c r="L560" i="1" s="1"/>
  <c r="I561" i="1"/>
  <c r="L561" i="1" s="1"/>
  <c r="I562" i="1"/>
  <c r="L562" i="1" s="1"/>
  <c r="I563" i="1"/>
  <c r="L563" i="1" s="1"/>
  <c r="I564" i="1"/>
  <c r="L564" i="1" s="1"/>
  <c r="I565" i="1"/>
  <c r="L565" i="1" s="1"/>
  <c r="I566" i="1"/>
  <c r="L566" i="1" s="1"/>
  <c r="I567" i="1"/>
  <c r="L567" i="1" s="1"/>
  <c r="I568" i="1"/>
  <c r="L568" i="1" s="1"/>
  <c r="I569" i="1"/>
  <c r="L569" i="1" s="1"/>
  <c r="I570" i="1"/>
  <c r="L570" i="1" s="1"/>
  <c r="I571" i="1"/>
  <c r="L571" i="1" s="1"/>
  <c r="I572" i="1"/>
  <c r="L572" i="1" s="1"/>
  <c r="I573" i="1"/>
  <c r="L573" i="1" s="1"/>
  <c r="I574" i="1"/>
  <c r="L574" i="1" s="1"/>
  <c r="I575" i="1"/>
  <c r="L575" i="1" s="1"/>
  <c r="I576" i="1"/>
  <c r="L576" i="1" s="1"/>
  <c r="I577" i="1"/>
  <c r="L577" i="1" s="1"/>
  <c r="I578" i="1"/>
  <c r="L578" i="1" s="1"/>
  <c r="I579" i="1"/>
  <c r="L579" i="1" s="1"/>
  <c r="I580" i="1"/>
  <c r="L580" i="1" s="1"/>
  <c r="I581" i="1"/>
  <c r="L581" i="1" s="1"/>
  <c r="I582" i="1"/>
  <c r="L582" i="1" s="1"/>
  <c r="I583" i="1"/>
  <c r="L583" i="1" s="1"/>
  <c r="I584" i="1"/>
  <c r="L584" i="1" s="1"/>
  <c r="I585" i="1"/>
  <c r="L585" i="1" s="1"/>
  <c r="I586" i="1"/>
  <c r="L586" i="1" s="1"/>
  <c r="I587" i="1"/>
  <c r="L587" i="1" s="1"/>
  <c r="I588" i="1"/>
  <c r="L588" i="1" s="1"/>
  <c r="I589" i="1"/>
  <c r="L589" i="1" s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I16" i="1"/>
  <c r="I2" i="1"/>
  <c r="I3" i="1"/>
  <c r="I4" i="1"/>
  <c r="I5" i="1"/>
  <c r="I6" i="1"/>
  <c r="I15" i="1"/>
  <c r="I8" i="1"/>
  <c r="I17" i="1"/>
  <c r="I10" i="1"/>
  <c r="I7" i="1"/>
  <c r="I12" i="1"/>
  <c r="I9" i="1"/>
  <c r="I14" i="1"/>
  <c r="I19" i="1"/>
  <c r="I21" i="1"/>
  <c r="I18" i="1"/>
  <c r="I11" i="1"/>
  <c r="I20" i="1"/>
  <c r="I13" i="1"/>
  <c r="I22" i="1"/>
  <c r="I23" i="1"/>
  <c r="I24" i="1"/>
  <c r="I25" i="1"/>
  <c r="I26" i="1"/>
  <c r="I27" i="1"/>
  <c r="I28" i="1"/>
  <c r="I29" i="1"/>
  <c r="I30" i="1"/>
  <c r="I39" i="1"/>
  <c r="I32" i="1"/>
  <c r="I41" i="1"/>
  <c r="I34" i="1"/>
  <c r="I31" i="1"/>
  <c r="I36" i="1"/>
  <c r="I33" i="1"/>
  <c r="I38" i="1"/>
  <c r="I43" i="1"/>
  <c r="I40" i="1"/>
  <c r="I45" i="1"/>
  <c r="I42" i="1"/>
  <c r="I35" i="1"/>
  <c r="I44" i="1"/>
  <c r="I37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L106" i="1" s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L2" i="1"/>
  <c r="V2" i="1" s="1"/>
  <c r="K3" i="1"/>
  <c r="K4" i="1"/>
  <c r="K5" i="1"/>
  <c r="K6" i="1"/>
  <c r="K15" i="1"/>
  <c r="K8" i="1"/>
  <c r="K17" i="1"/>
  <c r="K10" i="1"/>
  <c r="K7" i="1"/>
  <c r="K12" i="1"/>
  <c r="K9" i="1"/>
  <c r="K14" i="1"/>
  <c r="K19" i="1"/>
  <c r="K16" i="1"/>
  <c r="K21" i="1"/>
  <c r="K18" i="1"/>
  <c r="K11" i="1"/>
  <c r="K20" i="1"/>
  <c r="K13" i="1"/>
  <c r="K22" i="1"/>
  <c r="K23" i="1"/>
  <c r="K24" i="1"/>
  <c r="K25" i="1"/>
  <c r="K26" i="1"/>
  <c r="K27" i="1"/>
  <c r="K28" i="1"/>
  <c r="K29" i="1"/>
  <c r="K30" i="1"/>
  <c r="K39" i="1"/>
  <c r="K32" i="1"/>
  <c r="K41" i="1"/>
  <c r="K34" i="1"/>
  <c r="K31" i="1"/>
  <c r="K36" i="1"/>
  <c r="K33" i="1"/>
  <c r="K38" i="1"/>
  <c r="K43" i="1"/>
  <c r="K40" i="1"/>
  <c r="K45" i="1"/>
  <c r="K42" i="1"/>
  <c r="K35" i="1"/>
  <c r="K44" i="1"/>
  <c r="K37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L85" i="1" l="1"/>
  <c r="L84" i="1"/>
  <c r="L83" i="1"/>
  <c r="L82" i="1"/>
  <c r="L29" i="1"/>
  <c r="L28" i="1"/>
  <c r="L27" i="1"/>
  <c r="L26" i="1"/>
  <c r="L148" i="1"/>
  <c r="V148" i="1" s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V168" i="1" s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7" i="1"/>
  <c r="L146" i="1"/>
  <c r="V290" i="1"/>
  <c r="V292" i="1"/>
  <c r="V294" i="1"/>
  <c r="V296" i="1"/>
  <c r="V298" i="1"/>
  <c r="V300" i="1"/>
  <c r="V302" i="1"/>
  <c r="V304" i="1"/>
  <c r="V306" i="1"/>
  <c r="V308" i="1"/>
  <c r="V310" i="1"/>
  <c r="V312" i="1"/>
  <c r="V314" i="1"/>
  <c r="V316" i="1"/>
  <c r="V318" i="1"/>
  <c r="V320" i="1"/>
  <c r="V322" i="1"/>
  <c r="V324" i="1"/>
  <c r="V326" i="1"/>
  <c r="V328" i="1"/>
  <c r="V330" i="1"/>
  <c r="V332" i="1"/>
  <c r="V334" i="1"/>
  <c r="V336" i="1"/>
  <c r="V338" i="1"/>
  <c r="V340" i="1"/>
  <c r="V342" i="1"/>
  <c r="V344" i="1"/>
  <c r="V346" i="1"/>
  <c r="V348" i="1"/>
  <c r="V350" i="1"/>
  <c r="V352" i="1"/>
  <c r="V354" i="1"/>
  <c r="V356" i="1"/>
  <c r="V358" i="1"/>
  <c r="V360" i="1"/>
  <c r="V362" i="1"/>
  <c r="V364" i="1"/>
  <c r="V366" i="1"/>
  <c r="V368" i="1"/>
  <c r="V370" i="1"/>
  <c r="V372" i="1"/>
  <c r="V374" i="1"/>
  <c r="V376" i="1"/>
  <c r="V378" i="1"/>
  <c r="V380" i="1"/>
  <c r="V382" i="1"/>
  <c r="V384" i="1"/>
  <c r="V386" i="1"/>
  <c r="V388" i="1"/>
  <c r="V390" i="1"/>
  <c r="V392" i="1"/>
  <c r="V394" i="1"/>
  <c r="V396" i="1"/>
  <c r="V398" i="1"/>
  <c r="V400" i="1"/>
  <c r="V402" i="1"/>
  <c r="V404" i="1"/>
  <c r="V406" i="1"/>
  <c r="V408" i="1"/>
  <c r="V410" i="1"/>
  <c r="V412" i="1"/>
  <c r="V414" i="1"/>
  <c r="V416" i="1"/>
  <c r="V418" i="1"/>
  <c r="V420" i="1"/>
  <c r="V422" i="1"/>
  <c r="V424" i="1"/>
  <c r="V426" i="1"/>
  <c r="V428" i="1"/>
  <c r="V430" i="1"/>
  <c r="V432" i="1"/>
  <c r="V434" i="1"/>
  <c r="V436" i="1"/>
  <c r="V438" i="1"/>
  <c r="V440" i="1"/>
  <c r="V442" i="1"/>
  <c r="V444" i="1"/>
  <c r="V446" i="1"/>
  <c r="V448" i="1"/>
  <c r="V450" i="1"/>
  <c r="V452" i="1"/>
  <c r="V454" i="1"/>
  <c r="V456" i="1"/>
  <c r="V458" i="1"/>
  <c r="V460" i="1"/>
  <c r="V462" i="1"/>
  <c r="V464" i="1"/>
  <c r="V466" i="1"/>
  <c r="V468" i="1"/>
  <c r="V470" i="1"/>
  <c r="V472" i="1"/>
  <c r="V474" i="1"/>
  <c r="V476" i="1"/>
  <c r="V478" i="1"/>
  <c r="V480" i="1"/>
  <c r="V482" i="1"/>
  <c r="V484" i="1"/>
  <c r="V486" i="1"/>
  <c r="V488" i="1"/>
  <c r="V490" i="1"/>
  <c r="V492" i="1"/>
  <c r="V494" i="1"/>
  <c r="V496" i="1"/>
  <c r="V498" i="1"/>
  <c r="V500" i="1"/>
  <c r="V502" i="1"/>
  <c r="V504" i="1"/>
  <c r="V506" i="1"/>
  <c r="V508" i="1"/>
  <c r="V510" i="1"/>
  <c r="V512" i="1"/>
  <c r="V514" i="1"/>
  <c r="V516" i="1"/>
  <c r="V518" i="1"/>
  <c r="V520" i="1"/>
  <c r="V522" i="1"/>
  <c r="V524" i="1"/>
  <c r="V526" i="1"/>
  <c r="V528" i="1"/>
  <c r="V530" i="1"/>
  <c r="V532" i="1"/>
  <c r="V534" i="1"/>
  <c r="V536" i="1"/>
  <c r="V538" i="1"/>
  <c r="V540" i="1"/>
  <c r="V542" i="1"/>
  <c r="V544" i="1"/>
  <c r="V546" i="1"/>
  <c r="V548" i="1"/>
  <c r="V550" i="1"/>
  <c r="V552" i="1"/>
  <c r="V554" i="1"/>
  <c r="V556" i="1"/>
  <c r="V558" i="1"/>
  <c r="V560" i="1"/>
  <c r="V562" i="1"/>
  <c r="V564" i="1"/>
  <c r="V566" i="1"/>
  <c r="V568" i="1"/>
  <c r="V570" i="1"/>
  <c r="V572" i="1"/>
  <c r="V574" i="1"/>
  <c r="V576" i="1"/>
  <c r="V578" i="1"/>
  <c r="V580" i="1"/>
  <c r="V582" i="1"/>
  <c r="V584" i="1"/>
  <c r="V586" i="1"/>
  <c r="V588" i="1"/>
  <c r="V590" i="1"/>
  <c r="V288" i="1"/>
  <c r="V286" i="1"/>
  <c r="V284" i="1"/>
  <c r="V282" i="1"/>
  <c r="V280" i="1"/>
  <c r="V278" i="1"/>
  <c r="V276" i="1"/>
  <c r="V274" i="1"/>
  <c r="V272" i="1"/>
  <c r="V270" i="1"/>
  <c r="V268" i="1"/>
  <c r="V266" i="1"/>
  <c r="V264" i="1"/>
  <c r="V262" i="1"/>
  <c r="V260" i="1"/>
  <c r="V258" i="1"/>
  <c r="V256" i="1"/>
  <c r="V254" i="1"/>
  <c r="V252" i="1"/>
  <c r="V250" i="1"/>
  <c r="V248" i="1"/>
  <c r="V246" i="1"/>
  <c r="V244" i="1"/>
  <c r="V242" i="1"/>
  <c r="V240" i="1"/>
  <c r="V238" i="1"/>
  <c r="V236" i="1"/>
  <c r="V228" i="1"/>
  <c r="V226" i="1"/>
  <c r="V224" i="1"/>
  <c r="V222" i="1"/>
  <c r="V220" i="1"/>
  <c r="V212" i="1"/>
  <c r="V210" i="1"/>
  <c r="V208" i="1"/>
  <c r="V206" i="1"/>
  <c r="V204" i="1"/>
  <c r="V202" i="1"/>
  <c r="V200" i="1"/>
  <c r="V198" i="1"/>
  <c r="V196" i="1"/>
  <c r="V194" i="1"/>
  <c r="V164" i="1"/>
  <c r="V162" i="1"/>
  <c r="V152" i="1"/>
  <c r="V150" i="1"/>
  <c r="V234" i="1"/>
  <c r="V232" i="1"/>
  <c r="V230" i="1"/>
  <c r="V218" i="1"/>
  <c r="V216" i="1"/>
  <c r="V214" i="1"/>
  <c r="V160" i="1"/>
  <c r="V158" i="1"/>
  <c r="V146" i="1"/>
  <c r="V154" i="1"/>
  <c r="V156" i="1"/>
  <c r="V170" i="1"/>
  <c r="V190" i="1"/>
  <c r="V172" i="1"/>
  <c r="V174" i="1"/>
  <c r="V192" i="1"/>
  <c r="V184" i="1"/>
  <c r="V186" i="1"/>
  <c r="V176" i="1"/>
  <c r="V182" i="1"/>
  <c r="V188" i="1"/>
  <c r="V180" i="1"/>
  <c r="V166" i="1"/>
  <c r="V178" i="1"/>
  <c r="L37" i="1"/>
  <c r="L46" i="1"/>
  <c r="V46" i="1" s="1"/>
  <c r="L35" i="1"/>
  <c r="L44" i="1"/>
  <c r="V44" i="1" s="1"/>
  <c r="L31" i="1"/>
  <c r="L42" i="1"/>
  <c r="V42" i="1" s="1"/>
  <c r="L34" i="1"/>
  <c r="V34" i="1" s="1"/>
  <c r="V26" i="1"/>
  <c r="L18" i="1"/>
  <c r="V18" i="1" s="1"/>
  <c r="L36" i="1"/>
  <c r="V36" i="1" s="1"/>
  <c r="L21" i="1"/>
  <c r="L15" i="1"/>
  <c r="L25" i="1"/>
  <c r="L33" i="1"/>
  <c r="L138" i="1"/>
  <c r="V138" i="1" s="1"/>
  <c r="L114" i="1"/>
  <c r="V114" i="1" s="1"/>
  <c r="V82" i="1"/>
  <c r="L50" i="1"/>
  <c r="V50" i="1" s="1"/>
  <c r="L10" i="1"/>
  <c r="V10" i="1" s="1"/>
  <c r="L121" i="1"/>
  <c r="L89" i="1"/>
  <c r="L57" i="1"/>
  <c r="L144" i="1"/>
  <c r="V144" i="1" s="1"/>
  <c r="L104" i="1"/>
  <c r="V104" i="1" s="1"/>
  <c r="L80" i="1"/>
  <c r="V80" i="1" s="1"/>
  <c r="L48" i="1"/>
  <c r="V48" i="1" s="1"/>
  <c r="L24" i="1"/>
  <c r="V24" i="1" s="1"/>
  <c r="L119" i="1"/>
  <c r="L55" i="1"/>
  <c r="L122" i="1"/>
  <c r="V122" i="1" s="1"/>
  <c r="L90" i="1"/>
  <c r="V90" i="1" s="1"/>
  <c r="L74" i="1"/>
  <c r="V74" i="1" s="1"/>
  <c r="L137" i="1"/>
  <c r="L105" i="1"/>
  <c r="L73" i="1"/>
  <c r="L128" i="1"/>
  <c r="V128" i="1" s="1"/>
  <c r="L96" i="1"/>
  <c r="L72" i="1"/>
  <c r="V72" i="1" s="1"/>
  <c r="L56" i="1"/>
  <c r="V56" i="1" s="1"/>
  <c r="L32" i="1"/>
  <c r="V32" i="1" s="1"/>
  <c r="L127" i="1"/>
  <c r="L103" i="1"/>
  <c r="L79" i="1"/>
  <c r="L23" i="1"/>
  <c r="L134" i="1"/>
  <c r="V134" i="1" s="1"/>
  <c r="L110" i="1"/>
  <c r="V110" i="1" s="1"/>
  <c r="L86" i="1"/>
  <c r="V86" i="1" s="1"/>
  <c r="L54" i="1"/>
  <c r="V54" i="1" s="1"/>
  <c r="L6" i="1"/>
  <c r="V6" i="1" s="1"/>
  <c r="L141" i="1"/>
  <c r="L133" i="1"/>
  <c r="L125" i="1"/>
  <c r="L117" i="1"/>
  <c r="L109" i="1"/>
  <c r="L101" i="1"/>
  <c r="L93" i="1"/>
  <c r="L77" i="1"/>
  <c r="L69" i="1"/>
  <c r="L61" i="1"/>
  <c r="L53" i="1"/>
  <c r="L9" i="1"/>
  <c r="L5" i="1"/>
  <c r="V106" i="1"/>
  <c r="L58" i="1"/>
  <c r="V58" i="1" s="1"/>
  <c r="L145" i="1"/>
  <c r="L113" i="1"/>
  <c r="L81" i="1"/>
  <c r="L120" i="1"/>
  <c r="V120" i="1" s="1"/>
  <c r="L16" i="1"/>
  <c r="V16" i="1" s="1"/>
  <c r="L143" i="1"/>
  <c r="L95" i="1"/>
  <c r="L71" i="1"/>
  <c r="L43" i="1"/>
  <c r="L19" i="1"/>
  <c r="L126" i="1"/>
  <c r="V126" i="1" s="1"/>
  <c r="L102" i="1"/>
  <c r="V102" i="1" s="1"/>
  <c r="L78" i="1"/>
  <c r="V78" i="1" s="1"/>
  <c r="L62" i="1"/>
  <c r="V62" i="1" s="1"/>
  <c r="L38" i="1"/>
  <c r="V38" i="1" s="1"/>
  <c r="L30" i="1"/>
  <c r="V30" i="1" s="1"/>
  <c r="L22" i="1"/>
  <c r="V22" i="1" s="1"/>
  <c r="L14" i="1"/>
  <c r="V14" i="1" s="1"/>
  <c r="L140" i="1"/>
  <c r="V140" i="1" s="1"/>
  <c r="L132" i="1"/>
  <c r="V132" i="1" s="1"/>
  <c r="L124" i="1"/>
  <c r="V124" i="1" s="1"/>
  <c r="L116" i="1"/>
  <c r="V116" i="1" s="1"/>
  <c r="L108" i="1"/>
  <c r="V108" i="1" s="1"/>
  <c r="L100" i="1"/>
  <c r="V100" i="1" s="1"/>
  <c r="L92" i="1"/>
  <c r="V92" i="1" s="1"/>
  <c r="V84" i="1"/>
  <c r="L76" i="1"/>
  <c r="V76" i="1" s="1"/>
  <c r="L68" i="1"/>
  <c r="V68" i="1" s="1"/>
  <c r="L60" i="1"/>
  <c r="V60" i="1" s="1"/>
  <c r="L52" i="1"/>
  <c r="V52" i="1" s="1"/>
  <c r="V28" i="1"/>
  <c r="L20" i="1"/>
  <c r="V20" i="1" s="1"/>
  <c r="L12" i="1"/>
  <c r="V12" i="1" s="1"/>
  <c r="L4" i="1"/>
  <c r="V4" i="1" s="1"/>
  <c r="L130" i="1"/>
  <c r="V130" i="1" s="1"/>
  <c r="L98" i="1"/>
  <c r="V98" i="1" s="1"/>
  <c r="L66" i="1"/>
  <c r="V66" i="1" s="1"/>
  <c r="L129" i="1"/>
  <c r="L97" i="1"/>
  <c r="L65" i="1"/>
  <c r="L17" i="1"/>
  <c r="L136" i="1"/>
  <c r="V136" i="1" s="1"/>
  <c r="L112" i="1"/>
  <c r="V112" i="1" s="1"/>
  <c r="L88" i="1"/>
  <c r="V88" i="1" s="1"/>
  <c r="L64" i="1"/>
  <c r="V64" i="1" s="1"/>
  <c r="L40" i="1"/>
  <c r="V40" i="1" s="1"/>
  <c r="L8" i="1"/>
  <c r="V8" i="1" s="1"/>
  <c r="L135" i="1"/>
  <c r="L111" i="1"/>
  <c r="L87" i="1"/>
  <c r="L63" i="1"/>
  <c r="L142" i="1"/>
  <c r="V142" i="1" s="1"/>
  <c r="L118" i="1"/>
  <c r="V118" i="1" s="1"/>
  <c r="L94" i="1"/>
  <c r="V94" i="1" s="1"/>
  <c r="L70" i="1"/>
  <c r="V70" i="1" s="1"/>
  <c r="L139" i="1"/>
  <c r="L131" i="1"/>
  <c r="L123" i="1"/>
  <c r="L115" i="1"/>
  <c r="L107" i="1"/>
  <c r="L99" i="1"/>
  <c r="L91" i="1"/>
  <c r="L75" i="1"/>
  <c r="L67" i="1"/>
  <c r="L59" i="1"/>
  <c r="L51" i="1"/>
  <c r="L11" i="1"/>
  <c r="L3" i="1"/>
  <c r="L39" i="1"/>
  <c r="L13" i="1"/>
  <c r="L7" i="1"/>
  <c r="L47" i="1"/>
  <c r="L45" i="1"/>
  <c r="L41" i="1"/>
  <c r="L49" i="1"/>
</calcChain>
</file>

<file path=xl/sharedStrings.xml><?xml version="1.0" encoding="utf-8"?>
<sst xmlns="http://schemas.openxmlformats.org/spreadsheetml/2006/main" count="2240" uniqueCount="47">
  <si>
    <t>number</t>
  </si>
  <si>
    <t>site</t>
  </si>
  <si>
    <t>time</t>
  </si>
  <si>
    <t>habitat</t>
  </si>
  <si>
    <t>quadrat</t>
  </si>
  <si>
    <t>depth_analysis</t>
  </si>
  <si>
    <t>tin_weight</t>
  </si>
  <si>
    <t>dry_weight_tin</t>
  </si>
  <si>
    <t>dry_weight</t>
  </si>
  <si>
    <t>subsample_height</t>
  </si>
  <si>
    <t>volume</t>
  </si>
  <si>
    <t>DBD</t>
  </si>
  <si>
    <t>crucible_number</t>
  </si>
  <si>
    <t>crucible_weight</t>
  </si>
  <si>
    <t>dry_mass_before_combustion</t>
  </si>
  <si>
    <t>crucible_sample_weight_daybefore</t>
  </si>
  <si>
    <t>crucible_sample_weight_dayofburn</t>
  </si>
  <si>
    <t>crucible_sample_postburn_weight</t>
  </si>
  <si>
    <t>dry_mass_after_combustion</t>
  </si>
  <si>
    <t>OM</t>
  </si>
  <si>
    <t>OC</t>
  </si>
  <si>
    <t>SCD</t>
  </si>
  <si>
    <t>FB</t>
  </si>
  <si>
    <t>HI</t>
  </si>
  <si>
    <t>SC</t>
  </si>
  <si>
    <t>SG</t>
  </si>
  <si>
    <t>DC</t>
  </si>
  <si>
    <t>DG</t>
  </si>
  <si>
    <t>HO</t>
  </si>
  <si>
    <t>SI</t>
  </si>
  <si>
    <t>SO</t>
  </si>
  <si>
    <t>UM</t>
  </si>
  <si>
    <t>BB</t>
  </si>
  <si>
    <t>LB</t>
  </si>
  <si>
    <t>id</t>
  </si>
  <si>
    <t>BB, FB, LB</t>
  </si>
  <si>
    <t>time point (1-5)</t>
  </si>
  <si>
    <t>HI, HO, SI, SO</t>
  </si>
  <si>
    <t>numbered (1-15)</t>
  </si>
  <si>
    <t>SC,SG,DC,DG</t>
  </si>
  <si>
    <t>g</t>
  </si>
  <si>
    <t>cm</t>
  </si>
  <si>
    <t>cm^3</t>
  </si>
  <si>
    <t>g/cm^3</t>
  </si>
  <si>
    <t>%</t>
  </si>
  <si>
    <t>g C/cm^3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</si>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</sst>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color rgb="FF000000"/>
      <name val="TimesNewRomanPSMT"/>
      <family val="2"/>
    </font>
    <font>
      <sz val="12"/>
      <color theme="1"/>
      <name val="TimesNewRomanPSMT"/>
    </font>
    <font>
      <sz val="10"/>
      <color theme="1"/>
      <name val="Arial"/>
      <family val="2"/>
    </font>
    <font>
      <sz val="12"/>
      <color rgb="FF242424"/>
      <name val="Times New Roman"/>
    </font>
    <font>
      <sz val="12"/>
      <color rgb="FF000000"/>
      <name val="TimesNewRomanPSMT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49" fontId="0" fillId="0" borderId="0" xfId="1" applyNumberFormat="1" applyFont="1" applyFill="1"/>
    <xf numFmtId="0" fontId="3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3" fontId="0" fillId="0" borderId="0" xfId="0" applyNumberForma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6" fillId="0" borderId="0" xfId="0" applyFont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0" fillId="3" borderId="0" xfId="0" applyFill="1"/>
    <xf numFmtId="0" fontId="4" fillId="3" borderId="0" xfId="0" applyFont="1" applyFill="1"/>
    <xf numFmtId="0" fontId="2" fillId="3" borderId="0" xfId="0" applyFont="1" applyFill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F437-E31B-FD4D-A382-07BEC85FAD1B}">
  <dimension ref="A1:AG721"/>
  <sheetViews>
    <sheetView zoomScale="70" zoomScaleNormal="70" workbookViewId="0">
      <pane ySplit="1" topLeftCell="A311" activePane="bottomLeft" state="frozen"/>
      <selection pane="bottomLeft" activeCell="C321" sqref="C321"/>
    </sheetView>
  </sheetViews>
  <sheetFormatPr defaultColWidth="8.88671875" defaultRowHeight="15" customHeight="1"/>
  <cols>
    <col min="1" max="1" width="7.77734375" customWidth="1"/>
    <col min="2" max="7" width="9.109375" customWidth="1"/>
    <col min="8" max="8" width="14.21875" customWidth="1"/>
    <col min="9" max="21" width="9.109375" customWidth="1"/>
    <col min="22" max="22" width="8.88671875" customWidth="1"/>
    <col min="23" max="23" width="8.33203125" customWidth="1"/>
    <col min="24" max="24" width="7.77734375" customWidth="1"/>
    <col min="25" max="25" width="7.44140625" customWidth="1"/>
    <col min="26" max="27" width="7.109375" customWidth="1"/>
    <col min="28" max="29" width="6.109375" customWidth="1"/>
    <col min="30" max="30" width="7.6640625" customWidth="1"/>
    <col min="31" max="31" width="8.88671875" bestFit="1" customWidth="1"/>
  </cols>
  <sheetData>
    <row r="1" spans="1:30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s="10">
        <v>4000</v>
      </c>
      <c r="X1" s="10">
        <v>2000</v>
      </c>
      <c r="Y1" s="10">
        <v>500</v>
      </c>
      <c r="Z1" s="10">
        <v>250</v>
      </c>
      <c r="AA1" s="10">
        <v>125</v>
      </c>
      <c r="AB1" s="10">
        <v>75</v>
      </c>
      <c r="AC1" s="10">
        <v>63</v>
      </c>
      <c r="AD1" s="10">
        <v>0</v>
      </c>
    </row>
    <row r="2" spans="1:30" ht="15.75">
      <c r="A2">
        <v>1</v>
      </c>
      <c r="B2" t="s">
        <v>22</v>
      </c>
      <c r="C2">
        <v>1</v>
      </c>
      <c r="D2" t="s">
        <v>23</v>
      </c>
      <c r="E2">
        <v>13</v>
      </c>
      <c r="F2" t="s">
        <v>24</v>
      </c>
      <c r="G2">
        <v>2.6025999999999998</v>
      </c>
      <c r="H2">
        <v>73.1738</v>
      </c>
      <c r="I2">
        <f>H2-G2</f>
        <v>70.571200000000005</v>
      </c>
      <c r="J2">
        <v>5</v>
      </c>
      <c r="K2">
        <f>0.25*3.15*((7.62/2)^2)*J2</f>
        <v>57.157143750000003</v>
      </c>
      <c r="L2">
        <f t="shared" ref="L2:L33" si="0">I2/K2</f>
        <v>1.2346873088807906</v>
      </c>
      <c r="M2" s="3">
        <v>120</v>
      </c>
      <c r="N2" s="3">
        <v>37.710599999999999</v>
      </c>
      <c r="O2" s="3">
        <v>15.3919</v>
      </c>
      <c r="P2" s="3">
        <v>53.103999999999999</v>
      </c>
      <c r="Q2" s="4">
        <v>53.094999999999999</v>
      </c>
      <c r="R2" s="4">
        <v>52.615200000000002</v>
      </c>
      <c r="S2">
        <f>R2-N2</f>
        <v>14.904600000000002</v>
      </c>
      <c r="T2">
        <f>((O2-S2)/O2)*100</f>
        <v>3.1659509222383044</v>
      </c>
      <c r="U2">
        <f>-0.63+0.4*T2</f>
        <v>0.6363803688953219</v>
      </c>
      <c r="V2">
        <f>L2*(U2/100)</f>
        <v>7.8573076509592978E-3</v>
      </c>
    </row>
    <row r="3" spans="1:30">
      <c r="A3">
        <v>2</v>
      </c>
      <c r="B3" t="s">
        <v>22</v>
      </c>
      <c r="C3">
        <v>1</v>
      </c>
      <c r="D3" t="s">
        <v>23</v>
      </c>
      <c r="E3">
        <v>13</v>
      </c>
      <c r="F3" t="s">
        <v>25</v>
      </c>
      <c r="G3">
        <v>2.6031</v>
      </c>
      <c r="H3">
        <v>74.875399999999999</v>
      </c>
      <c r="I3">
        <f>H3-G3</f>
        <v>72.272300000000001</v>
      </c>
      <c r="J3">
        <v>5</v>
      </c>
      <c r="K3">
        <f t="shared" ref="K3:K34" si="1">0.25*3.15*((7.62/2)^2)*J3</f>
        <v>57.157143750000003</v>
      </c>
      <c r="L3">
        <f t="shared" si="0"/>
        <v>1.2644491179634916</v>
      </c>
      <c r="M3" s="4"/>
      <c r="N3" s="4"/>
      <c r="O3" s="4"/>
      <c r="P3" s="4"/>
      <c r="Q3" s="4"/>
      <c r="R3" s="4"/>
      <c r="W3">
        <v>0.25230000000000002</v>
      </c>
      <c r="X3">
        <v>1.2748999999999999</v>
      </c>
      <c r="Y3">
        <v>33.232799999999997</v>
      </c>
      <c r="Z3">
        <v>22.776299999999999</v>
      </c>
      <c r="AA3">
        <v>12.7341</v>
      </c>
      <c r="AB3">
        <v>1.4531000000000001</v>
      </c>
      <c r="AC3">
        <v>0.2218</v>
      </c>
      <c r="AD3">
        <v>0.27339999999999998</v>
      </c>
    </row>
    <row r="4" spans="1:30" ht="15.75">
      <c r="A4">
        <v>3</v>
      </c>
      <c r="B4" t="s">
        <v>22</v>
      </c>
      <c r="C4">
        <v>1</v>
      </c>
      <c r="D4" t="s">
        <v>23</v>
      </c>
      <c r="E4">
        <v>13</v>
      </c>
      <c r="F4" t="s">
        <v>26</v>
      </c>
      <c r="G4">
        <v>2.5926999999999998</v>
      </c>
      <c r="H4">
        <v>80.153800000000004</v>
      </c>
      <c r="I4">
        <f>H4-G4</f>
        <v>77.56110000000001</v>
      </c>
      <c r="J4">
        <v>5</v>
      </c>
      <c r="K4">
        <f t="shared" si="1"/>
        <v>57.157143750000003</v>
      </c>
      <c r="L4">
        <f t="shared" si="0"/>
        <v>1.3569799838012375</v>
      </c>
      <c r="M4" s="3">
        <v>308</v>
      </c>
      <c r="N4" s="3">
        <v>39.2316</v>
      </c>
      <c r="O4" s="3">
        <v>15.643000000000001</v>
      </c>
      <c r="P4" s="3">
        <v>54.874600000000001</v>
      </c>
      <c r="Q4" s="4">
        <v>54.871099999999998</v>
      </c>
      <c r="R4" s="4">
        <v>54.415900000000001</v>
      </c>
      <c r="S4">
        <f t="shared" ref="S4:S66" si="2">R4-N4</f>
        <v>15.1843</v>
      </c>
      <c r="T4">
        <f t="shared" ref="T4:T66" si="3">((O4-S4)/O4)*100</f>
        <v>2.9323019881096997</v>
      </c>
      <c r="U4">
        <f t="shared" ref="U4:U66" si="4">-0.63+0.4*T4</f>
        <v>0.54292079524387982</v>
      </c>
      <c r="V4">
        <f>L4*(U4/100)</f>
        <v>7.36732651935395E-3</v>
      </c>
    </row>
    <row r="5" spans="1:30">
      <c r="A5">
        <v>4</v>
      </c>
      <c r="B5" t="s">
        <v>22</v>
      </c>
      <c r="C5">
        <v>1</v>
      </c>
      <c r="D5" t="s">
        <v>23</v>
      </c>
      <c r="E5">
        <v>13</v>
      </c>
      <c r="F5" t="s">
        <v>27</v>
      </c>
      <c r="G5">
        <v>2.6040000000000001</v>
      </c>
      <c r="H5">
        <v>94.307500000000005</v>
      </c>
      <c r="I5">
        <f>H5-G5</f>
        <v>91.703500000000005</v>
      </c>
      <c r="J5">
        <v>5</v>
      </c>
      <c r="K5">
        <f t="shared" si="1"/>
        <v>57.157143750000003</v>
      </c>
      <c r="L5">
        <f t="shared" si="0"/>
        <v>1.6044101224004916</v>
      </c>
      <c r="M5" s="4"/>
      <c r="N5" s="4"/>
      <c r="O5" s="4"/>
      <c r="P5" s="4"/>
      <c r="Q5" s="4"/>
      <c r="R5" s="4"/>
      <c r="W5">
        <v>0.19059999999999999</v>
      </c>
      <c r="X5">
        <v>1.0469999999999999</v>
      </c>
      <c r="Y5">
        <v>45.333300000000001</v>
      </c>
      <c r="Z5">
        <v>30.187200000000001</v>
      </c>
      <c r="AA5">
        <v>13.2006</v>
      </c>
      <c r="AB5">
        <v>1.4392</v>
      </c>
      <c r="AC5">
        <v>0.16600000000000001</v>
      </c>
      <c r="AD5">
        <v>0.1583</v>
      </c>
    </row>
    <row r="6" spans="1:30" ht="15.75">
      <c r="A6">
        <v>5</v>
      </c>
      <c r="B6" t="s">
        <v>22</v>
      </c>
      <c r="C6">
        <v>1</v>
      </c>
      <c r="D6" t="s">
        <v>28</v>
      </c>
      <c r="E6">
        <v>13</v>
      </c>
      <c r="F6" t="s">
        <v>24</v>
      </c>
      <c r="G6">
        <v>2.6034999999999999</v>
      </c>
      <c r="H6">
        <v>81.148399999999995</v>
      </c>
      <c r="I6">
        <f>H6-G6</f>
        <v>78.544899999999998</v>
      </c>
      <c r="J6">
        <v>5</v>
      </c>
      <c r="K6">
        <f t="shared" si="1"/>
        <v>57.157143750000003</v>
      </c>
      <c r="L6">
        <f t="shared" si="0"/>
        <v>1.3741921804831263</v>
      </c>
      <c r="M6" s="3">
        <v>165</v>
      </c>
      <c r="N6" s="3">
        <v>39.484999999999999</v>
      </c>
      <c r="O6" s="3">
        <v>15.4323</v>
      </c>
      <c r="P6" s="3">
        <v>54.917299999999997</v>
      </c>
      <c r="Q6" s="4">
        <v>54.9251</v>
      </c>
      <c r="R6" s="4">
        <v>54.458100000000002</v>
      </c>
      <c r="S6">
        <f t="shared" si="2"/>
        <v>14.973100000000002</v>
      </c>
      <c r="T6">
        <f t="shared" si="3"/>
        <v>2.975577198473315</v>
      </c>
      <c r="U6">
        <f t="shared" si="4"/>
        <v>0.56023087938932614</v>
      </c>
      <c r="V6">
        <f>L6*(U6/100)</f>
        <v>7.6986489372199741E-3</v>
      </c>
    </row>
    <row r="7" spans="1:30">
      <c r="A7">
        <v>6</v>
      </c>
      <c r="B7" t="s">
        <v>22</v>
      </c>
      <c r="C7">
        <v>1</v>
      </c>
      <c r="D7" t="s">
        <v>23</v>
      </c>
      <c r="E7">
        <v>14</v>
      </c>
      <c r="F7" t="s">
        <v>25</v>
      </c>
      <c r="G7">
        <v>2.5920999999999998</v>
      </c>
      <c r="H7">
        <v>98.264499999999998</v>
      </c>
      <c r="I7">
        <f>H7-G7</f>
        <v>95.672399999999996</v>
      </c>
      <c r="J7">
        <v>5</v>
      </c>
      <c r="K7">
        <f t="shared" si="1"/>
        <v>57.157143750000003</v>
      </c>
      <c r="L7">
        <f t="shared" si="0"/>
        <v>1.6738485117181874</v>
      </c>
      <c r="M7" s="4"/>
      <c r="N7" s="4"/>
      <c r="O7" s="4"/>
      <c r="P7" s="4"/>
      <c r="Q7" s="4"/>
      <c r="R7" s="4"/>
      <c r="W7">
        <v>7.4700000000000003E-2</v>
      </c>
      <c r="X7">
        <v>0.58260000000000001</v>
      </c>
      <c r="Y7">
        <v>26.6251</v>
      </c>
      <c r="Z7">
        <v>37.7393</v>
      </c>
      <c r="AA7">
        <v>27.043900000000001</v>
      </c>
      <c r="AB7">
        <v>3.2534999999999998</v>
      </c>
      <c r="AC7">
        <v>0.24740000000000001</v>
      </c>
      <c r="AD7">
        <v>9.9099999999999994E-2</v>
      </c>
    </row>
    <row r="8" spans="1:30" ht="15.75">
      <c r="A8">
        <v>7</v>
      </c>
      <c r="B8" t="s">
        <v>22</v>
      </c>
      <c r="C8">
        <v>1</v>
      </c>
      <c r="D8" t="s">
        <v>28</v>
      </c>
      <c r="E8">
        <v>13</v>
      </c>
      <c r="F8" t="s">
        <v>26</v>
      </c>
      <c r="G8">
        <v>2.5524</v>
      </c>
      <c r="H8">
        <v>91.042199999999994</v>
      </c>
      <c r="I8">
        <f>H8-G8</f>
        <v>88.489799999999988</v>
      </c>
      <c r="J8">
        <v>5</v>
      </c>
      <c r="K8">
        <f t="shared" si="1"/>
        <v>57.157143750000003</v>
      </c>
      <c r="L8">
        <f t="shared" si="0"/>
        <v>1.5481844297021925</v>
      </c>
      <c r="M8" s="3">
        <v>209</v>
      </c>
      <c r="N8" s="3">
        <v>40.547400000000003</v>
      </c>
      <c r="O8" s="3">
        <v>15.3726</v>
      </c>
      <c r="P8" s="3">
        <v>55.92</v>
      </c>
      <c r="Q8" s="4">
        <v>55.925199999999997</v>
      </c>
      <c r="R8" s="4">
        <v>55.4923</v>
      </c>
      <c r="S8">
        <f t="shared" si="2"/>
        <v>14.944899999999997</v>
      </c>
      <c r="T8">
        <f t="shared" ref="T8" si="5">((O8-S8)/O8)*100</f>
        <v>2.7822229160974934</v>
      </c>
      <c r="U8">
        <f t="shared" ref="U8" si="6">-0.63+0.4*T8</f>
        <v>0.48288916643899749</v>
      </c>
      <c r="V8">
        <f>L8*(U8/100)</f>
        <v>7.4760148875272639E-3</v>
      </c>
    </row>
    <row r="9" spans="1:30">
      <c r="A9">
        <v>8</v>
      </c>
      <c r="B9" t="s">
        <v>22</v>
      </c>
      <c r="C9">
        <v>1</v>
      </c>
      <c r="D9" t="s">
        <v>23</v>
      </c>
      <c r="E9">
        <v>14</v>
      </c>
      <c r="F9" t="s">
        <v>27</v>
      </c>
      <c r="G9">
        <v>2.4821</v>
      </c>
      <c r="H9">
        <v>95.767009999999999</v>
      </c>
      <c r="I9">
        <f>H9-G9</f>
        <v>93.284909999999996</v>
      </c>
      <c r="J9">
        <v>5</v>
      </c>
      <c r="K9">
        <f t="shared" si="1"/>
        <v>57.157143750000003</v>
      </c>
      <c r="L9">
        <f t="shared" si="0"/>
        <v>1.6320778800287759</v>
      </c>
      <c r="M9" s="4"/>
      <c r="N9" s="4"/>
      <c r="O9" s="4"/>
      <c r="P9" s="4"/>
      <c r="Q9" s="4"/>
      <c r="R9" s="4"/>
      <c r="W9">
        <v>0</v>
      </c>
      <c r="X9">
        <v>0.99050000000000005</v>
      </c>
      <c r="Y9">
        <v>34.105699999999999</v>
      </c>
      <c r="Z9">
        <v>37.141800000000003</v>
      </c>
      <c r="AA9">
        <v>19.088100000000001</v>
      </c>
      <c r="AB9">
        <v>1.7172000000000001</v>
      </c>
      <c r="AC9">
        <v>0.1845</v>
      </c>
      <c r="AD9">
        <v>0.1164</v>
      </c>
    </row>
    <row r="10" spans="1:30" ht="15.75">
      <c r="A10">
        <v>9</v>
      </c>
      <c r="B10" t="s">
        <v>22</v>
      </c>
      <c r="C10">
        <v>1</v>
      </c>
      <c r="D10" t="s">
        <v>23</v>
      </c>
      <c r="E10">
        <v>14</v>
      </c>
      <c r="F10" t="s">
        <v>24</v>
      </c>
      <c r="G10">
        <v>2.4868000000000001</v>
      </c>
      <c r="H10">
        <v>93.465500000000006</v>
      </c>
      <c r="I10">
        <f>H10-G10</f>
        <v>90.978700000000003</v>
      </c>
      <c r="J10">
        <v>5</v>
      </c>
      <c r="K10">
        <f t="shared" si="1"/>
        <v>57.157143750000003</v>
      </c>
      <c r="L10">
        <f t="shared" si="0"/>
        <v>1.5917292928060283</v>
      </c>
      <c r="M10" s="3">
        <v>4</v>
      </c>
      <c r="N10" s="3">
        <v>37.547199999999997</v>
      </c>
      <c r="O10" s="3">
        <v>15.2026</v>
      </c>
      <c r="P10" s="3">
        <v>52.7498</v>
      </c>
      <c r="Q10" s="4">
        <v>52.740499999999997</v>
      </c>
      <c r="R10" s="4">
        <v>52.264899999999997</v>
      </c>
      <c r="S10">
        <f t="shared" si="2"/>
        <v>14.717700000000001</v>
      </c>
      <c r="T10">
        <f t="shared" si="3"/>
        <v>3.1895859918698095</v>
      </c>
      <c r="U10">
        <f t="shared" si="4"/>
        <v>0.64583439674792398</v>
      </c>
      <c r="V10">
        <f>L10*(U10/100)</f>
        <v>1.0279935276053809E-2</v>
      </c>
    </row>
    <row r="11" spans="1:30">
      <c r="A11">
        <v>10</v>
      </c>
      <c r="B11" t="s">
        <v>22</v>
      </c>
      <c r="C11">
        <v>1</v>
      </c>
      <c r="D11" s="5" t="s">
        <v>23</v>
      </c>
      <c r="E11">
        <v>15</v>
      </c>
      <c r="F11" s="5" t="s">
        <v>25</v>
      </c>
      <c r="G11">
        <v>1.0042</v>
      </c>
      <c r="H11">
        <v>65.036199999999994</v>
      </c>
      <c r="I11">
        <f>H11-G11</f>
        <v>64.031999999999996</v>
      </c>
      <c r="J11">
        <v>5</v>
      </c>
      <c r="K11">
        <f t="shared" si="1"/>
        <v>57.157143750000003</v>
      </c>
      <c r="L11">
        <f t="shared" si="0"/>
        <v>1.1202799125174969</v>
      </c>
      <c r="M11" s="4"/>
      <c r="N11" s="4"/>
      <c r="O11" s="4"/>
      <c r="P11" s="4"/>
      <c r="Q11" s="4"/>
      <c r="R11" s="4"/>
      <c r="W11">
        <v>0</v>
      </c>
      <c r="X11">
        <v>0.25719999999999998</v>
      </c>
      <c r="Y11">
        <v>10.1309</v>
      </c>
      <c r="Z11">
        <v>21.592600000000001</v>
      </c>
      <c r="AA11">
        <v>24.078600000000002</v>
      </c>
      <c r="AB11">
        <v>5.5918999999999999</v>
      </c>
      <c r="AC11">
        <v>0.94589999999999996</v>
      </c>
      <c r="AD11">
        <v>0.93200000000000005</v>
      </c>
    </row>
    <row r="12" spans="1:30" ht="15.75">
      <c r="A12">
        <v>11</v>
      </c>
      <c r="B12" t="s">
        <v>22</v>
      </c>
      <c r="C12">
        <v>1</v>
      </c>
      <c r="D12" t="s">
        <v>23</v>
      </c>
      <c r="E12">
        <v>14</v>
      </c>
      <c r="F12" t="s">
        <v>26</v>
      </c>
      <c r="G12">
        <v>2.5068000000000001</v>
      </c>
      <c r="H12">
        <v>91.366699999999994</v>
      </c>
      <c r="I12">
        <f>H12-G12</f>
        <v>88.859899999999996</v>
      </c>
      <c r="J12">
        <v>5</v>
      </c>
      <c r="K12">
        <f t="shared" si="1"/>
        <v>57.157143750000003</v>
      </c>
      <c r="L12">
        <f t="shared" si="0"/>
        <v>1.5546595608182396</v>
      </c>
      <c r="M12" s="3">
        <v>310</v>
      </c>
      <c r="N12" s="3">
        <v>42.599600000000002</v>
      </c>
      <c r="O12" s="3">
        <v>15.6645</v>
      </c>
      <c r="P12" s="3">
        <v>58.264099999999999</v>
      </c>
      <c r="Q12" s="4">
        <v>58.250799999999998</v>
      </c>
      <c r="R12" s="4">
        <v>57.778100000000002</v>
      </c>
      <c r="S12">
        <f t="shared" si="2"/>
        <v>15.1785</v>
      </c>
      <c r="T12">
        <f t="shared" si="3"/>
        <v>3.1025567365699556</v>
      </c>
      <c r="U12">
        <f t="shared" si="4"/>
        <v>0.61102269462798231</v>
      </c>
      <c r="V12">
        <f>L12*(U12/100)</f>
        <v>9.4993227408031646E-3</v>
      </c>
    </row>
    <row r="13" spans="1:30">
      <c r="A13">
        <v>12</v>
      </c>
      <c r="B13" t="s">
        <v>22</v>
      </c>
      <c r="C13">
        <v>1</v>
      </c>
      <c r="D13" s="5" t="s">
        <v>23</v>
      </c>
      <c r="E13">
        <v>15</v>
      </c>
      <c r="F13" s="5" t="s">
        <v>27</v>
      </c>
      <c r="G13">
        <v>0.99890000000000001</v>
      </c>
      <c r="H13">
        <v>72.8767</v>
      </c>
      <c r="I13">
        <f>H13-G13</f>
        <v>71.877799999999993</v>
      </c>
      <c r="J13">
        <v>5</v>
      </c>
      <c r="K13">
        <f t="shared" si="1"/>
        <v>57.157143750000003</v>
      </c>
      <c r="L13">
        <f t="shared" si="0"/>
        <v>1.2575470935774322</v>
      </c>
      <c r="M13" s="4"/>
      <c r="N13" s="4"/>
      <c r="O13" s="4"/>
      <c r="P13" s="4"/>
      <c r="Q13" s="4"/>
      <c r="R13" s="4"/>
      <c r="W13">
        <v>0</v>
      </c>
      <c r="X13">
        <v>0.33279999999999998</v>
      </c>
      <c r="Y13">
        <v>12.4686</v>
      </c>
      <c r="Z13">
        <v>24.785</v>
      </c>
      <c r="AA13">
        <v>26.104900000000001</v>
      </c>
      <c r="AB13">
        <v>5.9939</v>
      </c>
      <c r="AC13">
        <v>1.0498000000000001</v>
      </c>
      <c r="AD13">
        <v>1.2262</v>
      </c>
    </row>
    <row r="14" spans="1:30" ht="15.75">
      <c r="A14">
        <v>13</v>
      </c>
      <c r="B14" t="s">
        <v>22</v>
      </c>
      <c r="C14">
        <v>1</v>
      </c>
      <c r="D14" t="s">
        <v>28</v>
      </c>
      <c r="E14">
        <v>14</v>
      </c>
      <c r="F14" t="s">
        <v>24</v>
      </c>
      <c r="G14">
        <v>2.5022000000000002</v>
      </c>
      <c r="H14">
        <v>87.832999999999998</v>
      </c>
      <c r="I14">
        <f>H14-G14</f>
        <v>85.330799999999996</v>
      </c>
      <c r="J14">
        <v>5</v>
      </c>
      <c r="K14">
        <f t="shared" si="1"/>
        <v>57.157143750000003</v>
      </c>
      <c r="L14">
        <f t="shared" si="0"/>
        <v>1.4929157477362571</v>
      </c>
      <c r="M14" s="3">
        <v>102</v>
      </c>
      <c r="N14" s="3">
        <v>38.780700000000003</v>
      </c>
      <c r="O14" s="3">
        <v>15.1282</v>
      </c>
      <c r="P14" s="3">
        <v>53.908900000000003</v>
      </c>
      <c r="Q14" s="4">
        <v>53.914700000000003</v>
      </c>
      <c r="R14" s="4">
        <v>53.409799999999997</v>
      </c>
      <c r="S14">
        <f t="shared" si="2"/>
        <v>14.629099999999994</v>
      </c>
      <c r="T14">
        <f t="shared" si="3"/>
        <v>3.299136711571804</v>
      </c>
      <c r="U14">
        <f t="shared" si="4"/>
        <v>0.68965468462872159</v>
      </c>
      <c r="V14">
        <f>L14*(U14/100)</f>
        <v>1.0295963391823005E-2</v>
      </c>
    </row>
    <row r="15" spans="1:30">
      <c r="A15">
        <v>14</v>
      </c>
      <c r="B15" t="s">
        <v>22</v>
      </c>
      <c r="C15">
        <v>1</v>
      </c>
      <c r="D15" t="s">
        <v>28</v>
      </c>
      <c r="E15">
        <v>13</v>
      </c>
      <c r="F15" t="s">
        <v>25</v>
      </c>
      <c r="G15">
        <v>2.5590999999999999</v>
      </c>
      <c r="H15">
        <v>81.414000000000001</v>
      </c>
      <c r="I15">
        <f>H15-G15</f>
        <v>78.854900000000001</v>
      </c>
      <c r="J15">
        <v>5</v>
      </c>
      <c r="K15">
        <f t="shared" si="1"/>
        <v>57.157143750000003</v>
      </c>
      <c r="L15">
        <f t="shared" si="0"/>
        <v>1.3796158244873808</v>
      </c>
      <c r="M15" s="4"/>
      <c r="N15" s="4"/>
      <c r="O15" s="4"/>
      <c r="P15" s="4"/>
      <c r="Q15" s="4"/>
      <c r="R15" s="4"/>
      <c r="W15">
        <v>9.1399999999999995E-2</v>
      </c>
      <c r="X15">
        <v>0.95250000000000001</v>
      </c>
      <c r="Y15">
        <v>29.682700000000001</v>
      </c>
      <c r="Z15">
        <v>27.9739</v>
      </c>
      <c r="AA15">
        <v>17.662099999999999</v>
      </c>
      <c r="AB15">
        <v>2.2357</v>
      </c>
      <c r="AC15">
        <v>0.17280000000000001</v>
      </c>
      <c r="AD15">
        <v>0.10639999999999999</v>
      </c>
    </row>
    <row r="16" spans="1:30" ht="15.75">
      <c r="A16">
        <v>15</v>
      </c>
      <c r="B16" t="s">
        <v>22</v>
      </c>
      <c r="C16">
        <v>1</v>
      </c>
      <c r="D16" t="s">
        <v>28</v>
      </c>
      <c r="E16">
        <v>14</v>
      </c>
      <c r="F16" t="s">
        <v>26</v>
      </c>
      <c r="G16">
        <v>2.6048</v>
      </c>
      <c r="H16">
        <v>91.646600000000007</v>
      </c>
      <c r="I16">
        <f>H16-G16</f>
        <v>89.041800000000009</v>
      </c>
      <c r="J16">
        <v>5</v>
      </c>
      <c r="K16">
        <f t="shared" si="1"/>
        <v>57.157143750000003</v>
      </c>
      <c r="L16">
        <f t="shared" si="0"/>
        <v>1.5578420151549299</v>
      </c>
      <c r="M16" s="3">
        <v>18</v>
      </c>
      <c r="N16" s="3">
        <v>40.368200000000002</v>
      </c>
      <c r="O16" s="3">
        <v>15.158200000000001</v>
      </c>
      <c r="P16" s="3">
        <v>55.526400000000002</v>
      </c>
      <c r="Q16" s="4">
        <v>55.537700000000001</v>
      </c>
      <c r="R16" s="4">
        <v>55.087400000000002</v>
      </c>
      <c r="S16">
        <f t="shared" si="2"/>
        <v>14.719200000000001</v>
      </c>
      <c r="T16">
        <f t="shared" si="3"/>
        <v>2.8961222308717396</v>
      </c>
      <c r="U16">
        <f t="shared" si="4"/>
        <v>0.52844889234869596</v>
      </c>
      <c r="V16">
        <f>L16*(U16/100)</f>
        <v>8.2323988736288326E-3</v>
      </c>
    </row>
    <row r="17" spans="1:30">
      <c r="A17">
        <v>16</v>
      </c>
      <c r="B17" t="s">
        <v>22</v>
      </c>
      <c r="C17">
        <v>1</v>
      </c>
      <c r="D17" t="s">
        <v>28</v>
      </c>
      <c r="E17">
        <v>13</v>
      </c>
      <c r="F17" t="s">
        <v>27</v>
      </c>
      <c r="G17">
        <v>2.5912000000000002</v>
      </c>
      <c r="H17">
        <v>86.8215</v>
      </c>
      <c r="I17">
        <f>H17-G17</f>
        <v>84.2303</v>
      </c>
      <c r="J17">
        <v>5</v>
      </c>
      <c r="K17">
        <f t="shared" si="1"/>
        <v>57.157143750000003</v>
      </c>
      <c r="L17">
        <f t="shared" si="0"/>
        <v>1.4736618115211537</v>
      </c>
      <c r="M17" s="4"/>
      <c r="N17" s="4"/>
      <c r="O17" s="4"/>
      <c r="P17" s="4"/>
      <c r="Q17" s="4"/>
      <c r="R17" s="4"/>
      <c r="W17">
        <v>0.40189999999999998</v>
      </c>
      <c r="X17">
        <v>1.2204999999999999</v>
      </c>
      <c r="Y17">
        <v>35.063099999999999</v>
      </c>
      <c r="Z17">
        <v>30.452300000000001</v>
      </c>
      <c r="AA17">
        <v>15.335900000000001</v>
      </c>
      <c r="AB17">
        <v>1.5986</v>
      </c>
      <c r="AC17">
        <v>0.14599999999999999</v>
      </c>
      <c r="AD17">
        <v>3.4200000000000001E-2</v>
      </c>
    </row>
    <row r="18" spans="1:30" ht="15.75">
      <c r="A18">
        <v>17</v>
      </c>
      <c r="B18" t="s">
        <v>22</v>
      </c>
      <c r="C18">
        <v>1</v>
      </c>
      <c r="D18" s="5" t="s">
        <v>23</v>
      </c>
      <c r="E18">
        <v>15</v>
      </c>
      <c r="F18" s="5" t="s">
        <v>24</v>
      </c>
      <c r="G18">
        <v>1.0066999999999999</v>
      </c>
      <c r="H18">
        <v>63.929600000000001</v>
      </c>
      <c r="I18">
        <f>H18-G18</f>
        <v>62.922899999999998</v>
      </c>
      <c r="J18">
        <v>5</v>
      </c>
      <c r="K18">
        <f t="shared" si="1"/>
        <v>57.157143750000003</v>
      </c>
      <c r="L18">
        <f t="shared" si="0"/>
        <v>1.1008755139203399</v>
      </c>
      <c r="M18" s="3">
        <v>205</v>
      </c>
      <c r="N18" s="3">
        <v>39.578299999999999</v>
      </c>
      <c r="O18" s="3">
        <v>15.335900000000001</v>
      </c>
      <c r="P18" s="3">
        <v>54.914200000000001</v>
      </c>
      <c r="Q18" s="4">
        <v>54.9054</v>
      </c>
      <c r="R18" s="4">
        <v>54.312199999999997</v>
      </c>
      <c r="S18">
        <f t="shared" si="2"/>
        <v>14.733899999999998</v>
      </c>
      <c r="T18">
        <f t="shared" si="3"/>
        <v>3.9254298736950686</v>
      </c>
      <c r="U18">
        <f t="shared" si="4"/>
        <v>0.94017194947802751</v>
      </c>
      <c r="V18">
        <f>L18*(U18/100)</f>
        <v>1.0350122780551113E-2</v>
      </c>
    </row>
    <row r="19" spans="1:30">
      <c r="A19">
        <v>18</v>
      </c>
      <c r="B19" t="s">
        <v>22</v>
      </c>
      <c r="C19">
        <v>1</v>
      </c>
      <c r="D19" t="s">
        <v>28</v>
      </c>
      <c r="E19">
        <v>14</v>
      </c>
      <c r="F19" t="s">
        <v>25</v>
      </c>
      <c r="G19">
        <v>2.4708000000000001</v>
      </c>
      <c r="H19">
        <v>76.956900000000005</v>
      </c>
      <c r="I19">
        <f>H19-G19</f>
        <v>74.486100000000008</v>
      </c>
      <c r="J19">
        <v>5</v>
      </c>
      <c r="K19">
        <f t="shared" si="1"/>
        <v>57.157143750000003</v>
      </c>
      <c r="L19">
        <f t="shared" si="0"/>
        <v>1.3031809344041969</v>
      </c>
      <c r="M19" s="4"/>
      <c r="N19" s="4"/>
      <c r="O19" s="4"/>
      <c r="P19" s="4"/>
      <c r="Q19" s="4"/>
      <c r="R19" s="4"/>
      <c r="W19">
        <v>0</v>
      </c>
      <c r="X19">
        <v>0.30380000000000001</v>
      </c>
      <c r="Y19">
        <v>18.129300000000001</v>
      </c>
      <c r="Z19">
        <v>26.320399999999999</v>
      </c>
      <c r="AA19">
        <v>24.527999999999999</v>
      </c>
      <c r="AB19">
        <v>4.4335000000000004</v>
      </c>
      <c r="AC19">
        <v>0.35199999999999998</v>
      </c>
      <c r="AD19">
        <v>0.28410000000000002</v>
      </c>
    </row>
    <row r="20" spans="1:30" ht="15.75">
      <c r="A20">
        <v>19</v>
      </c>
      <c r="B20" t="s">
        <v>22</v>
      </c>
      <c r="C20">
        <v>1</v>
      </c>
      <c r="D20" s="5" t="s">
        <v>23</v>
      </c>
      <c r="E20">
        <v>15</v>
      </c>
      <c r="F20" s="5" t="s">
        <v>26</v>
      </c>
      <c r="G20">
        <v>1.0058</v>
      </c>
      <c r="H20">
        <v>80.531700000000001</v>
      </c>
      <c r="I20">
        <f>H20-G20</f>
        <v>79.525900000000007</v>
      </c>
      <c r="J20">
        <v>5</v>
      </c>
      <c r="K20">
        <f t="shared" si="1"/>
        <v>57.157143750000003</v>
      </c>
      <c r="L20">
        <f t="shared" si="0"/>
        <v>1.3913553894127189</v>
      </c>
      <c r="M20" s="3">
        <v>306</v>
      </c>
      <c r="N20" s="3">
        <v>37.8401</v>
      </c>
      <c r="O20" s="3">
        <v>15.431800000000001</v>
      </c>
      <c r="P20" s="3">
        <v>53.271900000000002</v>
      </c>
      <c r="Q20" s="4">
        <v>53.256700000000002</v>
      </c>
      <c r="R20" s="4">
        <v>52.675699999999999</v>
      </c>
      <c r="S20">
        <f t="shared" si="2"/>
        <v>14.835599999999999</v>
      </c>
      <c r="T20">
        <f t="shared" si="3"/>
        <v>3.8634507964074269</v>
      </c>
      <c r="U20">
        <f t="shared" si="4"/>
        <v>0.91538031856297086</v>
      </c>
      <c r="V20">
        <f>L20*(U20/100)</f>
        <v>1.2736193395949209E-2</v>
      </c>
    </row>
    <row r="21" spans="1:30">
      <c r="A21">
        <v>20</v>
      </c>
      <c r="B21" t="s">
        <v>22</v>
      </c>
      <c r="C21">
        <v>1</v>
      </c>
      <c r="D21" t="s">
        <v>28</v>
      </c>
      <c r="E21">
        <v>14</v>
      </c>
      <c r="F21" t="s">
        <v>27</v>
      </c>
      <c r="G21">
        <v>2.456</v>
      </c>
      <c r="H21">
        <v>98.722499999999997</v>
      </c>
      <c r="I21">
        <f>H21-G21</f>
        <v>96.266499999999994</v>
      </c>
      <c r="J21">
        <v>5</v>
      </c>
      <c r="K21">
        <f t="shared" si="1"/>
        <v>57.157143750000003</v>
      </c>
      <c r="L21">
        <f t="shared" si="0"/>
        <v>1.6842426630179537</v>
      </c>
      <c r="M21" s="4"/>
      <c r="N21" s="4"/>
      <c r="O21" s="4"/>
      <c r="P21" s="4"/>
      <c r="Q21" s="4"/>
      <c r="R21" s="4"/>
      <c r="W21">
        <v>0.2792</v>
      </c>
      <c r="X21">
        <v>0.78180000000000005</v>
      </c>
      <c r="Y21">
        <v>30.5395</v>
      </c>
      <c r="Z21">
        <v>37.573799999999999</v>
      </c>
      <c r="AA21">
        <v>23.730399999999999</v>
      </c>
      <c r="AB21">
        <v>2.8927</v>
      </c>
      <c r="AC21">
        <v>0.23039999999999999</v>
      </c>
      <c r="AD21">
        <v>0.13850000000000001</v>
      </c>
    </row>
    <row r="22" spans="1:30" ht="15.75">
      <c r="A22">
        <v>21</v>
      </c>
      <c r="B22" t="s">
        <v>22</v>
      </c>
      <c r="C22">
        <v>1</v>
      </c>
      <c r="D22" s="5" t="s">
        <v>28</v>
      </c>
      <c r="E22">
        <v>15</v>
      </c>
      <c r="F22" s="5" t="s">
        <v>24</v>
      </c>
      <c r="G22">
        <v>1.0072000000000001</v>
      </c>
      <c r="H22">
        <v>82.889399999999995</v>
      </c>
      <c r="I22">
        <f>H22-G22</f>
        <v>81.882199999999997</v>
      </c>
      <c r="J22">
        <v>5</v>
      </c>
      <c r="K22">
        <f t="shared" si="1"/>
        <v>57.157143750000003</v>
      </c>
      <c r="L22">
        <f t="shared" si="0"/>
        <v>1.432580332532799</v>
      </c>
      <c r="M22" s="3">
        <v>204</v>
      </c>
      <c r="N22" s="3">
        <v>39.583399999999997</v>
      </c>
      <c r="O22" s="3">
        <v>15.310499999999999</v>
      </c>
      <c r="P22" s="3">
        <v>54.893900000000002</v>
      </c>
      <c r="Q22" s="4">
        <v>54.891399999999997</v>
      </c>
      <c r="R22" s="4">
        <v>54.334200000000003</v>
      </c>
      <c r="S22">
        <f t="shared" si="2"/>
        <v>14.750800000000005</v>
      </c>
      <c r="T22">
        <f t="shared" ref="T22" si="7">((O22-S22)/O22)*100</f>
        <v>3.6556611475784209</v>
      </c>
      <c r="U22">
        <f t="shared" ref="U22" si="8">-0.63+0.4*T22</f>
        <v>0.83226445903136848</v>
      </c>
      <c r="V22">
        <f>L22*(U22/100)</f>
        <v>1.1922856954743878E-2</v>
      </c>
    </row>
    <row r="23" spans="1:30">
      <c r="A23">
        <v>22</v>
      </c>
      <c r="B23" t="s">
        <v>22</v>
      </c>
      <c r="C23">
        <v>1</v>
      </c>
      <c r="D23" s="5" t="s">
        <v>28</v>
      </c>
      <c r="E23">
        <v>15</v>
      </c>
      <c r="F23" s="5" t="s">
        <v>25</v>
      </c>
      <c r="G23">
        <v>0.99509999999999998</v>
      </c>
      <c r="H23">
        <v>85.064700000000002</v>
      </c>
      <c r="I23">
        <f>H23-G23</f>
        <v>84.069600000000008</v>
      </c>
      <c r="J23">
        <v>5</v>
      </c>
      <c r="K23">
        <f t="shared" si="1"/>
        <v>57.157143750000003</v>
      </c>
      <c r="L23">
        <f t="shared" si="0"/>
        <v>1.4708502644518517</v>
      </c>
      <c r="M23" s="4"/>
      <c r="N23" s="4"/>
      <c r="O23" s="4"/>
      <c r="P23" s="4"/>
      <c r="Q23" s="4"/>
      <c r="R23" s="4"/>
      <c r="W23">
        <v>0</v>
      </c>
      <c r="X23">
        <v>0.1668</v>
      </c>
      <c r="Y23">
        <v>16.978300000000001</v>
      </c>
      <c r="Z23">
        <v>31.111599999999999</v>
      </c>
      <c r="AA23">
        <v>29.757400000000001</v>
      </c>
      <c r="AB23">
        <v>5.2618</v>
      </c>
      <c r="AC23">
        <v>0.45522000000000001</v>
      </c>
      <c r="AD23">
        <v>0.30730000000000002</v>
      </c>
    </row>
    <row r="24" spans="1:30" ht="15.75">
      <c r="A24">
        <v>23</v>
      </c>
      <c r="B24" t="s">
        <v>22</v>
      </c>
      <c r="C24">
        <v>1</v>
      </c>
      <c r="D24" s="5" t="s">
        <v>28</v>
      </c>
      <c r="E24">
        <v>15</v>
      </c>
      <c r="F24" s="5" t="s">
        <v>26</v>
      </c>
      <c r="G24">
        <v>0.98729999999999996</v>
      </c>
      <c r="H24">
        <v>79.994699999999995</v>
      </c>
      <c r="I24">
        <f>H24-G24</f>
        <v>79.00739999999999</v>
      </c>
      <c r="J24">
        <v>5</v>
      </c>
      <c r="K24">
        <f t="shared" si="1"/>
        <v>57.157143750000003</v>
      </c>
      <c r="L24">
        <f t="shared" si="0"/>
        <v>1.3822839074249575</v>
      </c>
      <c r="M24" s="3">
        <v>135</v>
      </c>
      <c r="N24" s="3">
        <v>37.123399999999997</v>
      </c>
      <c r="O24" s="3">
        <v>15.0657</v>
      </c>
      <c r="P24" s="3">
        <v>52.189100000000003</v>
      </c>
      <c r="Q24" s="4">
        <v>52.183799999999998</v>
      </c>
      <c r="R24" s="4">
        <v>51.688299999999998</v>
      </c>
      <c r="S24">
        <f t="shared" si="2"/>
        <v>14.564900000000002</v>
      </c>
      <c r="T24">
        <f t="shared" si="3"/>
        <v>3.3241070776664752</v>
      </c>
      <c r="U24">
        <f t="shared" si="4"/>
        <v>0.6996428310665902</v>
      </c>
      <c r="V24">
        <f>L24*(U24/100)</f>
        <v>9.6710502632858571E-3</v>
      </c>
    </row>
    <row r="25" spans="1:30">
      <c r="A25">
        <v>24</v>
      </c>
      <c r="B25" t="s">
        <v>22</v>
      </c>
      <c r="C25">
        <v>1</v>
      </c>
      <c r="D25" s="5" t="s">
        <v>28</v>
      </c>
      <c r="E25">
        <v>15</v>
      </c>
      <c r="F25" s="5" t="s">
        <v>27</v>
      </c>
      <c r="G25">
        <v>0.98570000000000002</v>
      </c>
      <c r="H25">
        <v>83.230099999999993</v>
      </c>
      <c r="I25">
        <f>H25-G25</f>
        <v>82.244399999999999</v>
      </c>
      <c r="J25">
        <v>5</v>
      </c>
      <c r="K25">
        <f t="shared" si="1"/>
        <v>57.157143750000003</v>
      </c>
      <c r="L25">
        <f t="shared" si="0"/>
        <v>1.4389172482048667</v>
      </c>
      <c r="M25" s="4"/>
      <c r="N25" s="4"/>
      <c r="O25" s="4"/>
      <c r="P25" s="4"/>
      <c r="Q25" s="4"/>
      <c r="R25" s="4"/>
      <c r="W25">
        <v>0.26</v>
      </c>
      <c r="X25">
        <v>0.57001000000000002</v>
      </c>
      <c r="Y25">
        <v>30.12</v>
      </c>
      <c r="Z25">
        <v>33.137</v>
      </c>
      <c r="AA25">
        <v>16.323899999999998</v>
      </c>
      <c r="AB25">
        <v>1.843</v>
      </c>
      <c r="AC25">
        <v>0.1376</v>
      </c>
      <c r="AD25">
        <v>8.6199999999999999E-2</v>
      </c>
    </row>
    <row r="26" spans="1:30" ht="15.75">
      <c r="A26">
        <v>25</v>
      </c>
      <c r="B26" t="s">
        <v>22</v>
      </c>
      <c r="C26">
        <v>1</v>
      </c>
      <c r="D26" s="5" t="s">
        <v>29</v>
      </c>
      <c r="E26">
        <v>13</v>
      </c>
      <c r="F26" s="5" t="s">
        <v>24</v>
      </c>
      <c r="G26">
        <v>2.5914999999999999</v>
      </c>
      <c r="H26">
        <v>86.308499999999995</v>
      </c>
      <c r="I26">
        <f>H26-G26</f>
        <v>83.716999999999999</v>
      </c>
      <c r="J26">
        <v>5</v>
      </c>
      <c r="K26">
        <f t="shared" si="1"/>
        <v>57.157143750000003</v>
      </c>
      <c r="L26">
        <f t="shared" si="0"/>
        <v>1.4646813067876576</v>
      </c>
      <c r="M26" s="3">
        <v>16</v>
      </c>
      <c r="N26" s="3">
        <v>42.151000000000003</v>
      </c>
      <c r="O26" s="3">
        <v>15.180999999999999</v>
      </c>
      <c r="P26" s="3">
        <v>57.332000000000001</v>
      </c>
      <c r="Q26" s="4">
        <v>57.327100000000002</v>
      </c>
      <c r="R26" s="4">
        <v>56.876199999999997</v>
      </c>
      <c r="S26">
        <f t="shared" si="2"/>
        <v>14.725199999999994</v>
      </c>
      <c r="T26">
        <f t="shared" si="3"/>
        <v>3.0024372570977231</v>
      </c>
      <c r="U26">
        <f t="shared" si="4"/>
        <v>0.57097490283908925</v>
      </c>
      <c r="V26">
        <f>L26*(U26/100)</f>
        <v>8.36296266833313E-3</v>
      </c>
    </row>
    <row r="27" spans="1:30">
      <c r="A27">
        <v>26</v>
      </c>
      <c r="B27" t="s">
        <v>22</v>
      </c>
      <c r="C27">
        <v>1</v>
      </c>
      <c r="D27" s="5" t="s">
        <v>29</v>
      </c>
      <c r="E27">
        <v>13</v>
      </c>
      <c r="F27" s="5" t="s">
        <v>25</v>
      </c>
      <c r="G27">
        <v>1.0044999999999999</v>
      </c>
      <c r="H27">
        <v>87.299899999999994</v>
      </c>
      <c r="I27">
        <f>H27-G27</f>
        <v>86.295400000000001</v>
      </c>
      <c r="J27">
        <v>5</v>
      </c>
      <c r="K27">
        <f t="shared" si="1"/>
        <v>57.157143750000003</v>
      </c>
      <c r="L27">
        <f t="shared" si="0"/>
        <v>1.5097920284023989</v>
      </c>
      <c r="M27" s="4"/>
      <c r="N27" s="4"/>
      <c r="O27" s="4"/>
      <c r="P27" s="4"/>
      <c r="Q27" s="4"/>
      <c r="R27" s="4"/>
      <c r="W27">
        <v>2.23E-2</v>
      </c>
      <c r="X27">
        <v>0.48599999999999999</v>
      </c>
      <c r="Y27">
        <v>20.741599999999998</v>
      </c>
      <c r="Z27">
        <v>34.817799999999998</v>
      </c>
      <c r="AA27">
        <v>27.164899999999999</v>
      </c>
      <c r="AB27">
        <v>2.6272000000000002</v>
      </c>
      <c r="AC27">
        <v>0.1618</v>
      </c>
      <c r="AD27">
        <v>7.0800000000000002E-2</v>
      </c>
    </row>
    <row r="28" spans="1:30" ht="15.75">
      <c r="A28">
        <v>27</v>
      </c>
      <c r="B28" t="s">
        <v>22</v>
      </c>
      <c r="C28">
        <v>1</v>
      </c>
      <c r="D28" s="5" t="s">
        <v>29</v>
      </c>
      <c r="E28">
        <v>13</v>
      </c>
      <c r="F28" s="5" t="s">
        <v>26</v>
      </c>
      <c r="G28">
        <v>1.0147999999999999</v>
      </c>
      <c r="H28">
        <v>89.385900000000007</v>
      </c>
      <c r="I28">
        <f>H28-G28</f>
        <v>88.371100000000013</v>
      </c>
      <c r="J28">
        <v>5</v>
      </c>
      <c r="K28">
        <f t="shared" si="1"/>
        <v>57.157143750000003</v>
      </c>
      <c r="L28">
        <f t="shared" si="0"/>
        <v>1.5461076989173379</v>
      </c>
      <c r="M28" s="3">
        <v>17</v>
      </c>
      <c r="N28" s="3">
        <v>39.330399999999997</v>
      </c>
      <c r="O28" s="3">
        <v>15.425700000000001</v>
      </c>
      <c r="P28" s="3">
        <v>54.756100000000004</v>
      </c>
      <c r="Q28" s="4">
        <v>54.755899999999997</v>
      </c>
      <c r="R28" s="4">
        <v>54.309800000000003</v>
      </c>
      <c r="S28">
        <f t="shared" si="2"/>
        <v>14.979400000000005</v>
      </c>
      <c r="T28">
        <f t="shared" si="3"/>
        <v>2.8932236462526526</v>
      </c>
      <c r="U28">
        <f t="shared" si="4"/>
        <v>0.52728945850106113</v>
      </c>
      <c r="V28">
        <f>L28*(U28/100)</f>
        <v>8.1524629134644474E-3</v>
      </c>
    </row>
    <row r="29" spans="1:30">
      <c r="A29">
        <v>28</v>
      </c>
      <c r="B29" t="s">
        <v>22</v>
      </c>
      <c r="C29">
        <v>1</v>
      </c>
      <c r="D29" s="5" t="s">
        <v>29</v>
      </c>
      <c r="E29">
        <v>13</v>
      </c>
      <c r="F29" s="5" t="s">
        <v>27</v>
      </c>
      <c r="G29">
        <v>2.6025999999999998</v>
      </c>
      <c r="H29">
        <v>83.619</v>
      </c>
      <c r="I29">
        <f>H29-G29</f>
        <v>81.016400000000004</v>
      </c>
      <c r="J29">
        <v>5</v>
      </c>
      <c r="K29">
        <f t="shared" si="1"/>
        <v>57.157143750000003</v>
      </c>
      <c r="L29">
        <f t="shared" si="0"/>
        <v>1.417432619697691</v>
      </c>
      <c r="M29" s="4"/>
      <c r="N29" s="4"/>
      <c r="O29" s="4"/>
      <c r="P29" s="4"/>
      <c r="Q29" s="4"/>
      <c r="R29" s="4"/>
      <c r="W29">
        <v>3.5540000000000002E-2</v>
      </c>
      <c r="X29">
        <v>0.64639999999999997</v>
      </c>
      <c r="Y29">
        <v>22.0761</v>
      </c>
      <c r="Z29">
        <v>34.7729</v>
      </c>
      <c r="AA29">
        <v>21.6082</v>
      </c>
      <c r="AB29">
        <v>1.7961</v>
      </c>
      <c r="AC29">
        <v>0.1116</v>
      </c>
      <c r="AD29">
        <v>5.3699999999999998E-2</v>
      </c>
    </row>
    <row r="30" spans="1:30" ht="15.75">
      <c r="A30">
        <v>29</v>
      </c>
      <c r="B30" t="s">
        <v>22</v>
      </c>
      <c r="C30">
        <v>1</v>
      </c>
      <c r="D30" s="5" t="s">
        <v>30</v>
      </c>
      <c r="E30">
        <v>13</v>
      </c>
      <c r="F30" s="5" t="s">
        <v>24</v>
      </c>
      <c r="G30">
        <v>1.0121</v>
      </c>
      <c r="H30">
        <v>70.867099999999994</v>
      </c>
      <c r="I30">
        <f>H30-G30</f>
        <v>69.85499999999999</v>
      </c>
      <c r="J30">
        <v>5</v>
      </c>
      <c r="K30">
        <f t="shared" si="1"/>
        <v>57.157143750000003</v>
      </c>
      <c r="L30">
        <f t="shared" si="0"/>
        <v>1.2221569416683804</v>
      </c>
      <c r="M30" s="6" t="s">
        <v>31</v>
      </c>
      <c r="N30" s="3">
        <v>66.784099999999995</v>
      </c>
      <c r="O30" s="3">
        <v>15.3</v>
      </c>
      <c r="P30" s="3">
        <v>82.084100000000007</v>
      </c>
      <c r="Q30" s="4">
        <v>82.083399999999997</v>
      </c>
      <c r="R30" s="4">
        <v>81.630200000000002</v>
      </c>
      <c r="S30">
        <f t="shared" si="2"/>
        <v>14.846100000000007</v>
      </c>
      <c r="T30">
        <f t="shared" si="3"/>
        <v>2.9666666666666259</v>
      </c>
      <c r="U30">
        <f t="shared" si="4"/>
        <v>0.55666666666665032</v>
      </c>
      <c r="V30">
        <f>L30*(U30/100)</f>
        <v>6.803340308620451E-3</v>
      </c>
    </row>
    <row r="31" spans="1:30">
      <c r="A31">
        <v>30</v>
      </c>
      <c r="B31" t="s">
        <v>22</v>
      </c>
      <c r="C31">
        <v>1</v>
      </c>
      <c r="D31" s="5" t="s">
        <v>29</v>
      </c>
      <c r="E31">
        <v>14</v>
      </c>
      <c r="F31" s="5" t="s">
        <v>25</v>
      </c>
      <c r="G31">
        <v>1.0031000000000001</v>
      </c>
      <c r="H31">
        <v>85.132400000000004</v>
      </c>
      <c r="I31">
        <f>H31-G31</f>
        <v>84.129300000000001</v>
      </c>
      <c r="J31">
        <v>5</v>
      </c>
      <c r="K31">
        <f t="shared" si="1"/>
        <v>57.157143750000003</v>
      </c>
      <c r="L31">
        <f t="shared" si="0"/>
        <v>1.471894753313316</v>
      </c>
      <c r="M31" s="4"/>
      <c r="N31" s="4"/>
      <c r="O31" s="4"/>
      <c r="P31" s="4"/>
      <c r="Q31" s="4"/>
      <c r="R31" s="4"/>
      <c r="W31">
        <v>0</v>
      </c>
      <c r="X31">
        <v>0.58040000000000003</v>
      </c>
      <c r="Y31">
        <v>23.913900000000002</v>
      </c>
      <c r="Z31">
        <v>34.138399999999997</v>
      </c>
      <c r="AA31">
        <v>22.6648</v>
      </c>
      <c r="AB31">
        <v>2.3978000000000002</v>
      </c>
      <c r="AC31">
        <v>0.23960000000000001</v>
      </c>
      <c r="AD31">
        <v>0.1817</v>
      </c>
    </row>
    <row r="32" spans="1:30" ht="15.75">
      <c r="A32">
        <v>31</v>
      </c>
      <c r="B32" t="s">
        <v>22</v>
      </c>
      <c r="C32">
        <v>1</v>
      </c>
      <c r="D32" s="5" t="s">
        <v>30</v>
      </c>
      <c r="E32">
        <v>13</v>
      </c>
      <c r="F32" s="5" t="s">
        <v>26</v>
      </c>
      <c r="G32">
        <v>2.5910000000000002</v>
      </c>
      <c r="H32">
        <v>74.474699999999999</v>
      </c>
      <c r="I32">
        <f>H32-G32</f>
        <v>71.883700000000005</v>
      </c>
      <c r="J32">
        <v>5</v>
      </c>
      <c r="K32">
        <f t="shared" si="1"/>
        <v>57.157143750000003</v>
      </c>
      <c r="L32">
        <f t="shared" si="0"/>
        <v>1.2576503177697713</v>
      </c>
      <c r="M32" s="6" t="s">
        <v>31</v>
      </c>
      <c r="N32" s="3">
        <v>64.608099999999993</v>
      </c>
      <c r="O32" s="3">
        <v>15.5153</v>
      </c>
      <c r="P32" s="3">
        <v>80.123400000000004</v>
      </c>
      <c r="Q32" s="4">
        <v>80.115899999999996</v>
      </c>
      <c r="R32" s="4">
        <v>79.641099999999994</v>
      </c>
      <c r="S32">
        <f t="shared" si="2"/>
        <v>15.033000000000001</v>
      </c>
      <c r="T32">
        <f t="shared" si="3"/>
        <v>3.1085444690080024</v>
      </c>
      <c r="U32">
        <f t="shared" si="4"/>
        <v>0.61341778760320109</v>
      </c>
      <c r="V32">
        <f>L32*(U32/100)</f>
        <v>7.7146507550479599E-3</v>
      </c>
    </row>
    <row r="33" spans="1:30">
      <c r="A33">
        <v>32</v>
      </c>
      <c r="B33" t="s">
        <v>22</v>
      </c>
      <c r="C33">
        <v>1</v>
      </c>
      <c r="D33" s="5" t="s">
        <v>29</v>
      </c>
      <c r="E33">
        <v>14</v>
      </c>
      <c r="F33" s="5" t="s">
        <v>27</v>
      </c>
      <c r="G33">
        <v>2.4582999999999999</v>
      </c>
      <c r="H33">
        <v>94.764200000000002</v>
      </c>
      <c r="I33">
        <f>H33-G33</f>
        <v>92.305900000000008</v>
      </c>
      <c r="J33">
        <v>5</v>
      </c>
      <c r="K33">
        <f t="shared" si="1"/>
        <v>57.157143750000003</v>
      </c>
      <c r="L33">
        <f t="shared" si="0"/>
        <v>1.6149494873945658</v>
      </c>
      <c r="M33" s="4"/>
      <c r="N33" s="4"/>
      <c r="O33" s="4"/>
      <c r="P33" s="4"/>
      <c r="Q33" s="4"/>
      <c r="R33" s="4"/>
      <c r="W33">
        <v>0.4577</v>
      </c>
      <c r="X33">
        <v>1.2615000000000001</v>
      </c>
      <c r="Y33">
        <v>45.2806</v>
      </c>
      <c r="Z33">
        <v>30.5504</v>
      </c>
      <c r="AA33">
        <v>13.556900000000001</v>
      </c>
      <c r="AB33">
        <v>1.0102</v>
      </c>
      <c r="AC33">
        <v>0.1211</v>
      </c>
      <c r="AD33">
        <v>3.1899999999999998E-2</v>
      </c>
    </row>
    <row r="34" spans="1:30" ht="15.75">
      <c r="A34">
        <v>33</v>
      </c>
      <c r="B34" t="s">
        <v>22</v>
      </c>
      <c r="C34">
        <v>1</v>
      </c>
      <c r="D34" s="5" t="s">
        <v>29</v>
      </c>
      <c r="E34">
        <v>14</v>
      </c>
      <c r="F34" s="5" t="s">
        <v>24</v>
      </c>
      <c r="G34">
        <v>1.0051000000000001</v>
      </c>
      <c r="H34">
        <v>87.479100000000003</v>
      </c>
      <c r="I34">
        <f>H34-G34</f>
        <v>86.474000000000004</v>
      </c>
      <c r="J34">
        <v>5</v>
      </c>
      <c r="K34">
        <f t="shared" si="1"/>
        <v>57.157143750000003</v>
      </c>
      <c r="L34">
        <f t="shared" ref="L34:L65" si="9">I34/K34</f>
        <v>1.5129167471738822</v>
      </c>
      <c r="M34" s="6" t="s">
        <v>31</v>
      </c>
      <c r="N34" s="3">
        <v>63.818899999999999</v>
      </c>
      <c r="O34" s="3">
        <v>15.163</v>
      </c>
      <c r="P34" s="3">
        <v>78.981899999999996</v>
      </c>
      <c r="Q34" s="4">
        <v>78.978899999999996</v>
      </c>
      <c r="R34" s="4">
        <v>78.526899999999998</v>
      </c>
      <c r="S34">
        <f t="shared" si="2"/>
        <v>14.707999999999998</v>
      </c>
      <c r="T34">
        <f t="shared" si="3"/>
        <v>3.0007254501088299</v>
      </c>
      <c r="U34">
        <f t="shared" si="4"/>
        <v>0.57029018004353194</v>
      </c>
      <c r="V34">
        <f>L34*(U34/100)</f>
        <v>8.6280156413666795E-3</v>
      </c>
    </row>
    <row r="35" spans="1:30">
      <c r="A35">
        <v>34</v>
      </c>
      <c r="B35" t="s">
        <v>22</v>
      </c>
      <c r="C35">
        <v>1</v>
      </c>
      <c r="D35" s="5" t="s">
        <v>29</v>
      </c>
      <c r="E35">
        <v>15</v>
      </c>
      <c r="F35" s="5" t="s">
        <v>25</v>
      </c>
      <c r="G35">
        <v>1.0277000000000001</v>
      </c>
      <c r="H35">
        <v>88.264799999999994</v>
      </c>
      <c r="I35">
        <f>H35-G35</f>
        <v>87.237099999999998</v>
      </c>
      <c r="J35">
        <v>5</v>
      </c>
      <c r="K35">
        <f t="shared" ref="K35:K66" si="10">0.25*3.15*((7.62/2)^2)*J35</f>
        <v>57.157143750000003</v>
      </c>
      <c r="L35">
        <f t="shared" si="9"/>
        <v>1.5262676592372584</v>
      </c>
      <c r="M35" s="4"/>
      <c r="N35" s="4"/>
      <c r="O35" s="4"/>
      <c r="P35" s="4"/>
      <c r="Q35" s="4"/>
      <c r="R35" s="4"/>
      <c r="W35">
        <v>0.29780000000000001</v>
      </c>
      <c r="X35">
        <v>1.0176000000000001</v>
      </c>
      <c r="Y35">
        <v>37.022399999999998</v>
      </c>
      <c r="Z35">
        <v>32.748600000000003</v>
      </c>
      <c r="AA35">
        <v>18.3278</v>
      </c>
      <c r="AB35">
        <v>1.4634</v>
      </c>
      <c r="AC35">
        <v>0.1143</v>
      </c>
      <c r="AD35">
        <v>3.27E-2</v>
      </c>
    </row>
    <row r="36" spans="1:30" ht="15.75">
      <c r="A36">
        <v>35</v>
      </c>
      <c r="B36" t="s">
        <v>22</v>
      </c>
      <c r="C36">
        <v>1</v>
      </c>
      <c r="D36" s="5" t="s">
        <v>29</v>
      </c>
      <c r="E36">
        <v>14</v>
      </c>
      <c r="F36" s="5" t="s">
        <v>26</v>
      </c>
      <c r="G36">
        <v>2.5497999999999998</v>
      </c>
      <c r="H36">
        <v>86.531300000000002</v>
      </c>
      <c r="I36">
        <f>H36-G36</f>
        <v>83.981499999999997</v>
      </c>
      <c r="J36">
        <v>5</v>
      </c>
      <c r="K36">
        <f t="shared" si="10"/>
        <v>57.157143750000003</v>
      </c>
      <c r="L36">
        <f t="shared" si="9"/>
        <v>1.469308899817094</v>
      </c>
      <c r="M36" s="6" t="s">
        <v>31</v>
      </c>
      <c r="N36" s="3">
        <v>65.462599999999995</v>
      </c>
      <c r="O36" s="3">
        <v>15.705399999999999</v>
      </c>
      <c r="P36" s="3">
        <v>81.168000000000006</v>
      </c>
      <c r="Q36" s="4">
        <v>81.182400000000001</v>
      </c>
      <c r="R36" s="4">
        <v>80.731499999999997</v>
      </c>
      <c r="S36">
        <f t="shared" si="2"/>
        <v>15.268900000000002</v>
      </c>
      <c r="T36">
        <f t="shared" si="3"/>
        <v>2.7792988398894458</v>
      </c>
      <c r="U36">
        <f t="shared" si="4"/>
        <v>0.48171953595577832</v>
      </c>
      <c r="V36">
        <f>L36*(U36/100)</f>
        <v>7.0779480139558579E-3</v>
      </c>
    </row>
    <row r="37" spans="1:30">
      <c r="A37">
        <v>36</v>
      </c>
      <c r="B37" t="s">
        <v>22</v>
      </c>
      <c r="C37">
        <v>1</v>
      </c>
      <c r="D37" s="5" t="s">
        <v>29</v>
      </c>
      <c r="E37">
        <v>15</v>
      </c>
      <c r="F37" s="5" t="s">
        <v>27</v>
      </c>
      <c r="G37">
        <v>1.0143</v>
      </c>
      <c r="H37">
        <v>80.770899999999997</v>
      </c>
      <c r="I37">
        <f>H37-G37</f>
        <v>79.756599999999992</v>
      </c>
      <c r="J37">
        <v>5</v>
      </c>
      <c r="K37">
        <f t="shared" si="10"/>
        <v>57.157143750000003</v>
      </c>
      <c r="L37">
        <f t="shared" si="9"/>
        <v>1.3953916302894331</v>
      </c>
      <c r="M37" s="4"/>
      <c r="N37" s="4"/>
      <c r="O37" s="4"/>
      <c r="P37" s="4"/>
      <c r="Q37" s="4"/>
      <c r="R37" s="4"/>
      <c r="W37">
        <v>0.1137</v>
      </c>
      <c r="X37">
        <v>0.54930000000000001</v>
      </c>
      <c r="Y37">
        <v>22.634499999999999</v>
      </c>
      <c r="Z37">
        <v>34.0486</v>
      </c>
      <c r="AA37">
        <v>19.239699999999999</v>
      </c>
      <c r="AB37">
        <v>1.5116000000000001</v>
      </c>
      <c r="AC37">
        <v>0.1196</v>
      </c>
      <c r="AD37">
        <v>2.4E-2</v>
      </c>
    </row>
    <row r="38" spans="1:30" ht="15.75">
      <c r="A38">
        <v>37</v>
      </c>
      <c r="B38" t="s">
        <v>22</v>
      </c>
      <c r="C38">
        <v>1</v>
      </c>
      <c r="D38" s="5" t="s">
        <v>30</v>
      </c>
      <c r="E38">
        <v>14</v>
      </c>
      <c r="F38" s="5" t="s">
        <v>24</v>
      </c>
      <c r="G38">
        <v>0.99729999999999996</v>
      </c>
      <c r="H38">
        <v>88.476299999999995</v>
      </c>
      <c r="I38">
        <f>H38-G38</f>
        <v>87.478999999999999</v>
      </c>
      <c r="J38">
        <v>5</v>
      </c>
      <c r="K38">
        <f t="shared" si="10"/>
        <v>57.157143750000003</v>
      </c>
      <c r="L38">
        <f t="shared" si="9"/>
        <v>1.5304998511231589</v>
      </c>
      <c r="M38" s="6">
        <v>45</v>
      </c>
      <c r="N38" s="3">
        <v>42.834499999999998</v>
      </c>
      <c r="O38" s="3">
        <v>15.033799999999999</v>
      </c>
      <c r="P38" s="3">
        <v>57.868299999999998</v>
      </c>
      <c r="Q38" s="4">
        <v>57.873399999999997</v>
      </c>
      <c r="R38" s="4">
        <v>57.423699999999997</v>
      </c>
      <c r="S38">
        <f t="shared" si="2"/>
        <v>14.589199999999998</v>
      </c>
      <c r="T38">
        <f t="shared" si="3"/>
        <v>2.9573361359070978</v>
      </c>
      <c r="U38">
        <f t="shared" si="4"/>
        <v>0.55293445436283906</v>
      </c>
      <c r="V38">
        <f>L38*(U38/100)</f>
        <v>8.4626610008319038E-3</v>
      </c>
    </row>
    <row r="39" spans="1:30">
      <c r="A39">
        <v>38</v>
      </c>
      <c r="B39" t="s">
        <v>22</v>
      </c>
      <c r="C39">
        <v>1</v>
      </c>
      <c r="D39" s="5" t="s">
        <v>30</v>
      </c>
      <c r="E39">
        <v>13</v>
      </c>
      <c r="F39" s="5" t="s">
        <v>25</v>
      </c>
      <c r="G39">
        <v>1.0098</v>
      </c>
      <c r="H39">
        <v>72.846400000000003</v>
      </c>
      <c r="I39">
        <f>H39-G39</f>
        <v>71.836600000000004</v>
      </c>
      <c r="J39">
        <v>5</v>
      </c>
      <c r="K39">
        <f t="shared" si="10"/>
        <v>57.157143750000003</v>
      </c>
      <c r="L39">
        <f t="shared" si="9"/>
        <v>1.2568262737936411</v>
      </c>
      <c r="M39" s="4"/>
      <c r="N39" s="4"/>
      <c r="O39" s="4"/>
      <c r="P39" s="4"/>
      <c r="Q39" s="4"/>
      <c r="R39" s="4"/>
      <c r="W39">
        <v>2.6100000000000002E-2</v>
      </c>
      <c r="X39">
        <v>0.54169999999999996</v>
      </c>
      <c r="Y39">
        <v>32.976199999999999</v>
      </c>
      <c r="Z39">
        <v>35.287199999999999</v>
      </c>
      <c r="AA39">
        <v>16.820399999999999</v>
      </c>
      <c r="AB39">
        <v>1.3109</v>
      </c>
      <c r="AC39">
        <v>0.16930000000000001</v>
      </c>
      <c r="AD39">
        <v>0.17799999999999999</v>
      </c>
    </row>
    <row r="40" spans="1:30" ht="15.75">
      <c r="A40">
        <v>39</v>
      </c>
      <c r="B40" t="s">
        <v>22</v>
      </c>
      <c r="C40">
        <v>1</v>
      </c>
      <c r="D40" s="5" t="s">
        <v>30</v>
      </c>
      <c r="E40">
        <v>14</v>
      </c>
      <c r="F40" s="5" t="s">
        <v>26</v>
      </c>
      <c r="G40">
        <v>2.5699000000000001</v>
      </c>
      <c r="H40">
        <v>84.270300000000006</v>
      </c>
      <c r="I40">
        <f>H40-G40</f>
        <v>81.700400000000002</v>
      </c>
      <c r="J40">
        <v>5</v>
      </c>
      <c r="K40">
        <f t="shared" si="10"/>
        <v>57.157143750000003</v>
      </c>
      <c r="L40">
        <f t="shared" si="9"/>
        <v>1.4293996277586911</v>
      </c>
      <c r="M40" s="6" t="s">
        <v>31</v>
      </c>
      <c r="N40" s="3">
        <v>65.733999999999995</v>
      </c>
      <c r="O40" s="3">
        <v>15.6515</v>
      </c>
      <c r="P40" s="3">
        <v>81.385499999999993</v>
      </c>
      <c r="Q40" s="4">
        <v>81.393600000000006</v>
      </c>
      <c r="R40">
        <v>80.926400000000001</v>
      </c>
      <c r="S40">
        <f t="shared" si="2"/>
        <v>15.192400000000006</v>
      </c>
      <c r="T40">
        <f t="shared" si="3"/>
        <v>2.9332651822508646</v>
      </c>
      <c r="U40">
        <f t="shared" si="4"/>
        <v>0.54330607290034594</v>
      </c>
      <c r="V40">
        <f>L40*(U40/100)</f>
        <v>7.7660149836279073E-3</v>
      </c>
    </row>
    <row r="41" spans="1:30">
      <c r="A41">
        <v>40</v>
      </c>
      <c r="B41" t="s">
        <v>22</v>
      </c>
      <c r="C41">
        <v>1</v>
      </c>
      <c r="D41" s="5" t="s">
        <v>30</v>
      </c>
      <c r="E41">
        <v>13</v>
      </c>
      <c r="F41" s="5" t="s">
        <v>27</v>
      </c>
      <c r="G41">
        <v>2.6101000000000001</v>
      </c>
      <c r="H41">
        <v>99.925399999999996</v>
      </c>
      <c r="I41">
        <f>H41-G41</f>
        <v>97.315299999999993</v>
      </c>
      <c r="J41">
        <v>5</v>
      </c>
      <c r="K41">
        <f t="shared" si="10"/>
        <v>57.157143750000003</v>
      </c>
      <c r="L41">
        <f t="shared" si="9"/>
        <v>1.702592075378154</v>
      </c>
      <c r="M41" s="4"/>
      <c r="N41" s="4"/>
      <c r="O41" s="4"/>
      <c r="P41" s="4"/>
      <c r="Q41" s="4"/>
      <c r="R41" s="4"/>
      <c r="W41">
        <v>0</v>
      </c>
      <c r="X41">
        <v>0.3019</v>
      </c>
      <c r="Y41">
        <v>24.660699999999999</v>
      </c>
      <c r="Z41">
        <v>29.6282</v>
      </c>
      <c r="AA41">
        <v>15.519299999999999</v>
      </c>
      <c r="AB41">
        <v>1.4041999999999999</v>
      </c>
      <c r="AC41">
        <v>0.1103</v>
      </c>
      <c r="AD41">
        <v>0.23630000000000001</v>
      </c>
    </row>
    <row r="42" spans="1:30" ht="15.75">
      <c r="A42">
        <v>41</v>
      </c>
      <c r="B42" t="s">
        <v>22</v>
      </c>
      <c r="C42">
        <v>1</v>
      </c>
      <c r="D42" s="5" t="s">
        <v>29</v>
      </c>
      <c r="E42">
        <v>15</v>
      </c>
      <c r="F42" s="5" t="s">
        <v>24</v>
      </c>
      <c r="G42">
        <v>1.0085999999999999</v>
      </c>
      <c r="H42">
        <v>90.559399999999997</v>
      </c>
      <c r="I42">
        <f>H42-G42</f>
        <v>89.550799999999995</v>
      </c>
      <c r="J42">
        <v>5</v>
      </c>
      <c r="K42">
        <f t="shared" si="10"/>
        <v>57.157143750000003</v>
      </c>
      <c r="L42">
        <f t="shared" si="9"/>
        <v>1.5667472886973992</v>
      </c>
      <c r="M42" s="3">
        <v>35</v>
      </c>
      <c r="N42" s="3">
        <v>44.667400000000001</v>
      </c>
      <c r="O42" s="3">
        <v>15.3</v>
      </c>
      <c r="P42" s="3">
        <v>59.967399999999998</v>
      </c>
      <c r="Q42" s="4">
        <v>59.960099999999997</v>
      </c>
      <c r="R42">
        <v>59.504399999999997</v>
      </c>
      <c r="S42">
        <f t="shared" si="2"/>
        <v>14.836999999999996</v>
      </c>
      <c r="T42">
        <f t="shared" si="3"/>
        <v>3.0261437908497024</v>
      </c>
      <c r="U42">
        <f t="shared" si="4"/>
        <v>0.58045751633988096</v>
      </c>
      <c r="V42">
        <f>L42*(U42/100)</f>
        <v>9.0943023992953471E-3</v>
      </c>
    </row>
    <row r="43" spans="1:30">
      <c r="A43">
        <v>42</v>
      </c>
      <c r="B43" t="s">
        <v>22</v>
      </c>
      <c r="C43">
        <v>1</v>
      </c>
      <c r="D43" s="5" t="s">
        <v>30</v>
      </c>
      <c r="E43">
        <v>14</v>
      </c>
      <c r="F43" s="5" t="s">
        <v>25</v>
      </c>
      <c r="G43">
        <v>1.0024999999999999</v>
      </c>
      <c r="H43">
        <v>70.697900000000004</v>
      </c>
      <c r="I43">
        <f>H43-G43</f>
        <v>69.695400000000006</v>
      </c>
      <c r="J43">
        <v>5</v>
      </c>
      <c r="K43">
        <f t="shared" si="10"/>
        <v>57.157143750000003</v>
      </c>
      <c r="L43">
        <f t="shared" si="9"/>
        <v>1.2193646397874807</v>
      </c>
      <c r="M43" s="4"/>
      <c r="N43" s="4"/>
      <c r="O43" s="4"/>
      <c r="P43" s="4"/>
      <c r="Q43" s="4"/>
      <c r="R43" s="4"/>
      <c r="W43">
        <v>0</v>
      </c>
      <c r="X43">
        <v>0.36780000000000002</v>
      </c>
      <c r="Y43">
        <v>24.0032</v>
      </c>
      <c r="Z43">
        <v>26.881599999999999</v>
      </c>
      <c r="AA43">
        <v>16.513500000000001</v>
      </c>
      <c r="AB43">
        <v>1.5508</v>
      </c>
      <c r="AC43">
        <v>0.2167</v>
      </c>
      <c r="AD43">
        <v>0.1704</v>
      </c>
    </row>
    <row r="44" spans="1:30" ht="15.75">
      <c r="A44">
        <v>43</v>
      </c>
      <c r="B44" t="s">
        <v>22</v>
      </c>
      <c r="C44">
        <v>1</v>
      </c>
      <c r="D44" s="5" t="s">
        <v>29</v>
      </c>
      <c r="E44">
        <v>15</v>
      </c>
      <c r="F44" s="5" t="s">
        <v>26</v>
      </c>
      <c r="G44">
        <v>0.9919</v>
      </c>
      <c r="H44">
        <v>79.748199999999997</v>
      </c>
      <c r="I44">
        <f>H44-G44</f>
        <v>78.756299999999996</v>
      </c>
      <c r="J44">
        <v>5</v>
      </c>
      <c r="K44">
        <f t="shared" si="10"/>
        <v>57.157143750000003</v>
      </c>
      <c r="L44">
        <f t="shared" si="9"/>
        <v>1.3778907557815114</v>
      </c>
      <c r="M44" s="3">
        <v>5</v>
      </c>
      <c r="N44" s="3">
        <v>42.980600000000003</v>
      </c>
      <c r="O44" s="3">
        <v>15.276400000000001</v>
      </c>
      <c r="P44" s="3">
        <v>58.256999999999998</v>
      </c>
      <c r="Q44" s="4">
        <v>58.249600000000001</v>
      </c>
      <c r="R44">
        <v>57.812600000000003</v>
      </c>
      <c r="S44">
        <f t="shared" si="2"/>
        <v>14.832000000000001</v>
      </c>
      <c r="T44">
        <f t="shared" si="3"/>
        <v>2.9090623445314332</v>
      </c>
      <c r="U44">
        <f t="shared" si="4"/>
        <v>0.53362493781257336</v>
      </c>
      <c r="V44">
        <f>L44*(U44/100)</f>
        <v>7.352768688664287E-3</v>
      </c>
    </row>
    <row r="45" spans="1:30">
      <c r="A45">
        <v>44</v>
      </c>
      <c r="B45" t="s">
        <v>22</v>
      </c>
      <c r="C45">
        <v>1</v>
      </c>
      <c r="D45" s="5" t="s">
        <v>30</v>
      </c>
      <c r="E45">
        <v>14</v>
      </c>
      <c r="F45" s="5" t="s">
        <v>27</v>
      </c>
      <c r="G45">
        <v>2.5928</v>
      </c>
      <c r="H45">
        <v>72.414599999999993</v>
      </c>
      <c r="I45">
        <f>H45-G45</f>
        <v>69.821799999999996</v>
      </c>
      <c r="J45">
        <v>5</v>
      </c>
      <c r="K45">
        <f t="shared" si="10"/>
        <v>57.157143750000003</v>
      </c>
      <c r="L45">
        <f t="shared" si="9"/>
        <v>1.2215760868911507</v>
      </c>
      <c r="M45" s="4"/>
      <c r="N45" s="4"/>
      <c r="O45" s="4"/>
      <c r="P45" s="4"/>
      <c r="Q45" s="4"/>
      <c r="R45" s="4"/>
      <c r="W45">
        <v>0</v>
      </c>
      <c r="X45">
        <v>0.75060000000000004</v>
      </c>
      <c r="Y45">
        <v>26.2925</v>
      </c>
      <c r="Z45">
        <v>25.051500000000001</v>
      </c>
      <c r="AA45">
        <v>15.8452</v>
      </c>
      <c r="AB45">
        <v>1.6460999999999999</v>
      </c>
      <c r="AC45">
        <v>0.1313</v>
      </c>
      <c r="AD45">
        <v>3.1800000000000002E-2</v>
      </c>
    </row>
    <row r="46" spans="1:30" ht="15.75">
      <c r="A46">
        <v>45</v>
      </c>
      <c r="B46" t="s">
        <v>22</v>
      </c>
      <c r="C46">
        <v>1</v>
      </c>
      <c r="D46" s="5" t="s">
        <v>30</v>
      </c>
      <c r="E46">
        <v>15</v>
      </c>
      <c r="F46" s="5" t="s">
        <v>24</v>
      </c>
      <c r="G46">
        <v>1.0062</v>
      </c>
      <c r="H46">
        <v>74.382499999999993</v>
      </c>
      <c r="I46">
        <f>H46-G46</f>
        <v>73.376299999999986</v>
      </c>
      <c r="J46">
        <v>5</v>
      </c>
      <c r="K46">
        <f t="shared" si="10"/>
        <v>57.157143750000003</v>
      </c>
      <c r="L46">
        <f t="shared" si="9"/>
        <v>1.2837642888689655</v>
      </c>
      <c r="M46" s="3">
        <v>20</v>
      </c>
      <c r="N46" s="3">
        <v>43.064599999999999</v>
      </c>
      <c r="O46" s="3">
        <v>15.087</v>
      </c>
      <c r="P46" s="3">
        <v>58.151600000000002</v>
      </c>
      <c r="Q46" s="4">
        <v>58.139499999999998</v>
      </c>
      <c r="R46">
        <v>57.621000000000002</v>
      </c>
      <c r="S46">
        <f t="shared" si="2"/>
        <v>14.556400000000004</v>
      </c>
      <c r="T46">
        <f t="shared" si="3"/>
        <v>3.5169351096970649</v>
      </c>
      <c r="U46">
        <f t="shared" si="4"/>
        <v>0.77677404387882609</v>
      </c>
      <c r="V46">
        <f>L46*(U46/100)</f>
        <v>9.9719477805197184E-3</v>
      </c>
    </row>
    <row r="47" spans="1:30">
      <c r="A47">
        <v>46</v>
      </c>
      <c r="B47" t="s">
        <v>22</v>
      </c>
      <c r="C47">
        <v>1</v>
      </c>
      <c r="D47" s="5" t="s">
        <v>30</v>
      </c>
      <c r="E47">
        <v>15</v>
      </c>
      <c r="F47" s="5" t="s">
        <v>25</v>
      </c>
      <c r="G47">
        <v>1.0085999999999999</v>
      </c>
      <c r="H47">
        <v>81.181600000000003</v>
      </c>
      <c r="I47">
        <f>H47-G47</f>
        <v>80.173000000000002</v>
      </c>
      <c r="J47">
        <v>5</v>
      </c>
      <c r="K47">
        <f t="shared" si="10"/>
        <v>57.157143750000003</v>
      </c>
      <c r="L47">
        <f t="shared" si="9"/>
        <v>1.4026768088809545</v>
      </c>
      <c r="M47" s="4"/>
      <c r="N47" s="4"/>
      <c r="O47" s="4"/>
      <c r="P47" s="4"/>
      <c r="Q47" s="4"/>
      <c r="R47" s="4"/>
      <c r="W47">
        <v>0.36720000000000003</v>
      </c>
      <c r="X47">
        <v>0.51319999999999999</v>
      </c>
      <c r="Y47">
        <v>26.255500000000001</v>
      </c>
      <c r="Z47">
        <v>31.589200000000002</v>
      </c>
      <c r="AA47">
        <v>19.438400000000001</v>
      </c>
      <c r="AB47">
        <v>1.8265</v>
      </c>
      <c r="AC47">
        <v>0.15859999999999999</v>
      </c>
      <c r="AD47">
        <v>0.1754</v>
      </c>
    </row>
    <row r="48" spans="1:30" ht="15.75">
      <c r="A48">
        <v>47</v>
      </c>
      <c r="B48" t="s">
        <v>22</v>
      </c>
      <c r="C48">
        <v>1</v>
      </c>
      <c r="D48" s="5" t="s">
        <v>30</v>
      </c>
      <c r="E48">
        <v>15</v>
      </c>
      <c r="F48" s="5" t="s">
        <v>26</v>
      </c>
      <c r="G48">
        <v>1.0011000000000001</v>
      </c>
      <c r="H48">
        <v>92.988</v>
      </c>
      <c r="I48">
        <f>H48-G48</f>
        <v>91.986900000000006</v>
      </c>
      <c r="J48">
        <v>5</v>
      </c>
      <c r="K48">
        <f t="shared" si="10"/>
        <v>57.157143750000003</v>
      </c>
      <c r="L48">
        <f t="shared" si="9"/>
        <v>1.6093683827579295</v>
      </c>
      <c r="M48" s="6" t="s">
        <v>31</v>
      </c>
      <c r="N48" s="3">
        <v>64.999700000000004</v>
      </c>
      <c r="O48" s="3">
        <v>15.234500000000001</v>
      </c>
      <c r="P48" s="3">
        <v>80.234200000000001</v>
      </c>
      <c r="Q48" s="4">
        <v>79.235200000000006</v>
      </c>
      <c r="R48">
        <v>78.768199999999993</v>
      </c>
      <c r="S48">
        <f t="shared" si="2"/>
        <v>13.768499999999989</v>
      </c>
      <c r="T48">
        <f t="shared" si="3"/>
        <v>9.6228954018839588</v>
      </c>
      <c r="U48">
        <f t="shared" si="4"/>
        <v>3.219158160753584</v>
      </c>
      <c r="V48">
        <f>L48*(U48/100)</f>
        <v>5.180811363013986E-2</v>
      </c>
    </row>
    <row r="49" spans="1:30">
      <c r="A49">
        <v>48</v>
      </c>
      <c r="B49" t="s">
        <v>22</v>
      </c>
      <c r="C49">
        <v>1</v>
      </c>
      <c r="D49" s="5" t="s">
        <v>30</v>
      </c>
      <c r="E49">
        <v>15</v>
      </c>
      <c r="F49" s="5" t="s">
        <v>27</v>
      </c>
      <c r="G49">
        <v>1.0046999999999999</v>
      </c>
      <c r="H49">
        <v>76.901499999999999</v>
      </c>
      <c r="I49">
        <f>H49-G49</f>
        <v>75.896799999999999</v>
      </c>
      <c r="J49">
        <v>5</v>
      </c>
      <c r="K49">
        <f t="shared" si="10"/>
        <v>57.157143750000003</v>
      </c>
      <c r="L49">
        <f t="shared" si="9"/>
        <v>1.3278620137487187</v>
      </c>
      <c r="M49" s="4"/>
      <c r="N49" s="4"/>
      <c r="O49" s="4"/>
      <c r="P49" s="4"/>
      <c r="Q49" s="4"/>
      <c r="R49" s="4"/>
      <c r="W49">
        <v>0</v>
      </c>
      <c r="X49">
        <v>0.44829999999999998</v>
      </c>
      <c r="Y49">
        <v>26.9939</v>
      </c>
      <c r="Z49">
        <v>32.911200000000001</v>
      </c>
      <c r="AA49">
        <v>14.5725</v>
      </c>
      <c r="AB49">
        <v>0.96060000000000001</v>
      </c>
      <c r="AC49">
        <v>6.8000000000000005E-2</v>
      </c>
      <c r="AD49">
        <v>5.16E-2</v>
      </c>
    </row>
    <row r="50" spans="1:30" ht="15.75">
      <c r="A50">
        <v>49</v>
      </c>
      <c r="B50" t="s">
        <v>32</v>
      </c>
      <c r="C50">
        <v>1</v>
      </c>
      <c r="D50" t="s">
        <v>23</v>
      </c>
      <c r="E50">
        <v>13</v>
      </c>
      <c r="F50" t="s">
        <v>24</v>
      </c>
      <c r="G50">
        <v>1.0052000000000001</v>
      </c>
      <c r="H50">
        <v>65.528700000000001</v>
      </c>
      <c r="I50">
        <f>H50-G50</f>
        <v>64.523499999999999</v>
      </c>
      <c r="J50">
        <v>5</v>
      </c>
      <c r="K50">
        <f t="shared" si="10"/>
        <v>57.157143750000003</v>
      </c>
      <c r="L50">
        <f t="shared" si="9"/>
        <v>1.1288790126081134</v>
      </c>
      <c r="M50" s="3">
        <v>103</v>
      </c>
      <c r="N50" s="3">
        <v>38.900700000000001</v>
      </c>
      <c r="O50" s="3">
        <v>15.18</v>
      </c>
      <c r="P50" s="3">
        <v>54.081899999999997</v>
      </c>
      <c r="Q50" s="3">
        <v>53.997599999999998</v>
      </c>
      <c r="R50">
        <v>53.426200000000001</v>
      </c>
      <c r="S50">
        <f t="shared" si="2"/>
        <v>14.525500000000001</v>
      </c>
      <c r="T50">
        <f t="shared" si="3"/>
        <v>4.3115942028985419</v>
      </c>
      <c r="U50">
        <f t="shared" si="4"/>
        <v>1.094637681159417</v>
      </c>
      <c r="V50">
        <f>L50*(U50/100)</f>
        <v>1.2357135046708774E-2</v>
      </c>
    </row>
    <row r="51" spans="1:30">
      <c r="A51">
        <v>50</v>
      </c>
      <c r="B51" t="s">
        <v>32</v>
      </c>
      <c r="C51">
        <v>1</v>
      </c>
      <c r="D51" t="s">
        <v>23</v>
      </c>
      <c r="E51">
        <v>13</v>
      </c>
      <c r="F51" t="s">
        <v>25</v>
      </c>
      <c r="G51">
        <v>1.0042</v>
      </c>
      <c r="H51">
        <v>45.596400000000003</v>
      </c>
      <c r="I51">
        <f>H51-G51</f>
        <v>44.592200000000005</v>
      </c>
      <c r="J51">
        <v>5</v>
      </c>
      <c r="K51">
        <f t="shared" si="10"/>
        <v>57.157143750000003</v>
      </c>
      <c r="L51">
        <f t="shared" si="9"/>
        <v>0.78016844569844346</v>
      </c>
      <c r="M51" s="4"/>
      <c r="N51" s="4"/>
      <c r="O51" s="4"/>
      <c r="P51" s="4"/>
      <c r="Q51" s="4"/>
      <c r="R51" s="4"/>
      <c r="W51">
        <v>0.3921</v>
      </c>
      <c r="X51">
        <v>0.86780000000000002</v>
      </c>
      <c r="Y51">
        <v>7.8433999999999999</v>
      </c>
      <c r="Z51">
        <v>12.8683</v>
      </c>
      <c r="AA51">
        <v>16.018599999999999</v>
      </c>
      <c r="AB51">
        <v>2.8822999999999999</v>
      </c>
      <c r="AC51">
        <v>0.81710000000000005</v>
      </c>
      <c r="AD51">
        <v>2.3997000000000002</v>
      </c>
    </row>
    <row r="52" spans="1:30" ht="15.75">
      <c r="A52">
        <v>51</v>
      </c>
      <c r="B52" t="s">
        <v>32</v>
      </c>
      <c r="C52">
        <v>1</v>
      </c>
      <c r="D52" t="s">
        <v>23</v>
      </c>
      <c r="E52">
        <v>13</v>
      </c>
      <c r="F52" t="s">
        <v>26</v>
      </c>
      <c r="G52">
        <v>1.0227999999999999</v>
      </c>
      <c r="H52">
        <v>68.412400000000005</v>
      </c>
      <c r="I52">
        <f>H52-G52</f>
        <v>67.389600000000002</v>
      </c>
      <c r="J52">
        <v>5</v>
      </c>
      <c r="K52">
        <f t="shared" si="10"/>
        <v>57.157143750000003</v>
      </c>
      <c r="L52">
        <f t="shared" si="9"/>
        <v>1.1790232257713191</v>
      </c>
      <c r="M52" s="3">
        <v>303</v>
      </c>
      <c r="N52" s="3">
        <v>37.105200000000004</v>
      </c>
      <c r="O52" s="3">
        <v>15.019</v>
      </c>
      <c r="P52" s="3">
        <v>52.124400000000001</v>
      </c>
      <c r="Q52" s="3">
        <v>52.0593</v>
      </c>
      <c r="R52">
        <v>51.603099999999998</v>
      </c>
      <c r="S52">
        <f t="shared" si="2"/>
        <v>14.497899999999994</v>
      </c>
      <c r="T52">
        <f t="shared" si="3"/>
        <v>3.4696051667887735</v>
      </c>
      <c r="U52">
        <f t="shared" si="4"/>
        <v>0.75784206671550958</v>
      </c>
      <c r="V52">
        <f>L52*(U52/100)</f>
        <v>8.9351339812412337E-3</v>
      </c>
    </row>
    <row r="53" spans="1:30">
      <c r="A53">
        <v>52</v>
      </c>
      <c r="B53" t="s">
        <v>32</v>
      </c>
      <c r="C53">
        <v>1</v>
      </c>
      <c r="D53" t="s">
        <v>23</v>
      </c>
      <c r="E53">
        <v>13</v>
      </c>
      <c r="F53" t="s">
        <v>27</v>
      </c>
      <c r="G53">
        <v>1.0044</v>
      </c>
      <c r="H53">
        <v>86.1113</v>
      </c>
      <c r="I53">
        <f>H53-G53</f>
        <v>85.106899999999996</v>
      </c>
      <c r="J53">
        <v>5</v>
      </c>
      <c r="K53">
        <f t="shared" si="10"/>
        <v>57.157143750000003</v>
      </c>
      <c r="L53">
        <f t="shared" si="9"/>
        <v>1.4889984771151199</v>
      </c>
      <c r="M53" s="4"/>
      <c r="N53" s="4"/>
      <c r="O53" s="4"/>
      <c r="P53" s="4"/>
      <c r="Q53" s="4"/>
      <c r="R53" s="4"/>
      <c r="W53">
        <v>8.4199999999999997E-2</v>
      </c>
      <c r="X53">
        <v>0.64959999999999996</v>
      </c>
      <c r="Y53">
        <v>11.045999999999999</v>
      </c>
      <c r="Z53">
        <v>23.427600000000002</v>
      </c>
      <c r="AA53">
        <v>36.388890000000004</v>
      </c>
      <c r="AB53">
        <v>6.4486999999999997</v>
      </c>
      <c r="AC53">
        <v>1.7257</v>
      </c>
      <c r="AD53">
        <v>4.7248999999999999</v>
      </c>
    </row>
    <row r="54" spans="1:30" ht="15.75">
      <c r="A54">
        <v>53</v>
      </c>
      <c r="B54" t="s">
        <v>32</v>
      </c>
      <c r="C54">
        <v>1</v>
      </c>
      <c r="D54" t="s">
        <v>28</v>
      </c>
      <c r="E54">
        <v>13</v>
      </c>
      <c r="F54" t="s">
        <v>24</v>
      </c>
      <c r="G54">
        <v>1.0181</v>
      </c>
      <c r="H54">
        <v>74.954899999999995</v>
      </c>
      <c r="I54">
        <f>H54-G54</f>
        <v>73.936799999999991</v>
      </c>
      <c r="J54">
        <v>5</v>
      </c>
      <c r="K54">
        <f t="shared" si="10"/>
        <v>57.157143750000003</v>
      </c>
      <c r="L54">
        <f t="shared" si="9"/>
        <v>1.293570587141174</v>
      </c>
      <c r="M54" s="3">
        <v>311</v>
      </c>
      <c r="N54" s="3">
        <v>40.771900000000002</v>
      </c>
      <c r="O54" s="3">
        <v>15.129</v>
      </c>
      <c r="P54" s="3">
        <v>55.901000000000003</v>
      </c>
      <c r="Q54" s="3">
        <v>55.807200000000002</v>
      </c>
      <c r="R54">
        <v>55.2607</v>
      </c>
      <c r="S54">
        <f t="shared" si="2"/>
        <v>14.488799999999998</v>
      </c>
      <c r="T54">
        <f t="shared" si="3"/>
        <v>4.2316081697402463</v>
      </c>
      <c r="U54">
        <f t="shared" si="4"/>
        <v>1.0626432678960986</v>
      </c>
      <c r="V54">
        <f>L54*(U54/100)</f>
        <v>1.3746040759739722E-2</v>
      </c>
    </row>
    <row r="55" spans="1:30">
      <c r="A55">
        <v>54</v>
      </c>
      <c r="B55" t="s">
        <v>32</v>
      </c>
      <c r="C55">
        <v>1</v>
      </c>
      <c r="D55" t="s">
        <v>28</v>
      </c>
      <c r="E55">
        <v>13</v>
      </c>
      <c r="F55" t="s">
        <v>25</v>
      </c>
      <c r="G55">
        <v>1.0085</v>
      </c>
      <c r="H55">
        <v>74.009799999999998</v>
      </c>
      <c r="I55">
        <f>H55-G55</f>
        <v>73.001300000000001</v>
      </c>
      <c r="J55">
        <v>5</v>
      </c>
      <c r="K55">
        <f t="shared" si="10"/>
        <v>57.157143750000003</v>
      </c>
      <c r="L55">
        <f t="shared" si="9"/>
        <v>1.2772034291863998</v>
      </c>
      <c r="M55" s="4"/>
      <c r="N55" s="4"/>
      <c r="O55" s="4"/>
      <c r="P55" s="4"/>
      <c r="Q55" s="4"/>
      <c r="R55" s="4"/>
      <c r="W55">
        <v>2.2637</v>
      </c>
      <c r="X55">
        <v>1.24</v>
      </c>
      <c r="Y55">
        <v>9.6198999999999995</v>
      </c>
      <c r="Z55">
        <v>19.295400000000001</v>
      </c>
      <c r="AA55">
        <v>27.448599999999999</v>
      </c>
      <c r="AB55">
        <v>5.6304999999999996</v>
      </c>
      <c r="AC55">
        <v>1.6879</v>
      </c>
      <c r="AD55">
        <v>4.5000999999999998</v>
      </c>
    </row>
    <row r="56" spans="1:30" ht="15.75">
      <c r="A56">
        <v>55</v>
      </c>
      <c r="B56" t="s">
        <v>32</v>
      </c>
      <c r="C56">
        <v>1</v>
      </c>
      <c r="D56" t="s">
        <v>28</v>
      </c>
      <c r="E56">
        <v>13</v>
      </c>
      <c r="F56" t="s">
        <v>26</v>
      </c>
      <c r="G56">
        <v>1.0036</v>
      </c>
      <c r="H56">
        <v>54.857599999999998</v>
      </c>
      <c r="I56">
        <f>H56-G56</f>
        <v>53.853999999999999</v>
      </c>
      <c r="J56">
        <v>5</v>
      </c>
      <c r="K56">
        <f t="shared" si="10"/>
        <v>57.157143750000003</v>
      </c>
      <c r="L56">
        <f t="shared" si="9"/>
        <v>0.94220943291974757</v>
      </c>
      <c r="M56" s="3">
        <v>236</v>
      </c>
      <c r="N56" s="3">
        <v>39.630299999999998</v>
      </c>
      <c r="O56" s="3">
        <v>15.010899999999999</v>
      </c>
      <c r="P56" s="3">
        <v>54.641199999999998</v>
      </c>
      <c r="Q56" s="3">
        <v>54.576599999999999</v>
      </c>
      <c r="R56">
        <v>54.122399999999999</v>
      </c>
      <c r="S56">
        <f t="shared" si="2"/>
        <v>14.492100000000001</v>
      </c>
      <c r="T56">
        <f t="shared" si="3"/>
        <v>3.4561551938924304</v>
      </c>
      <c r="U56">
        <f t="shared" si="4"/>
        <v>0.75246207755697225</v>
      </c>
      <c r="V56">
        <f>L56*(U56/100)</f>
        <v>7.0897686738856987E-3</v>
      </c>
    </row>
    <row r="57" spans="1:30">
      <c r="A57">
        <v>56</v>
      </c>
      <c r="B57" t="s">
        <v>32</v>
      </c>
      <c r="C57">
        <v>1</v>
      </c>
      <c r="D57" t="s">
        <v>28</v>
      </c>
      <c r="E57">
        <v>13</v>
      </c>
      <c r="F57" t="s">
        <v>27</v>
      </c>
      <c r="G57">
        <v>1.0130999999999999</v>
      </c>
      <c r="H57">
        <v>73.654499999999999</v>
      </c>
      <c r="I57">
        <f>H57-G57</f>
        <v>72.641400000000004</v>
      </c>
      <c r="J57">
        <v>5</v>
      </c>
      <c r="K57">
        <f t="shared" si="10"/>
        <v>57.157143750000003</v>
      </c>
      <c r="L57">
        <f t="shared" si="9"/>
        <v>1.2709067534537186</v>
      </c>
      <c r="M57" s="4"/>
      <c r="N57" s="4"/>
      <c r="O57" s="4"/>
      <c r="P57" s="4"/>
      <c r="Q57" s="4"/>
      <c r="R57" s="4"/>
      <c r="W57">
        <v>0</v>
      </c>
      <c r="X57">
        <v>0.42230000000000001</v>
      </c>
      <c r="Y57">
        <v>9.9892000000000003</v>
      </c>
      <c r="Z57">
        <v>19.795400000000001</v>
      </c>
      <c r="AA57">
        <v>32.0884</v>
      </c>
      <c r="AB57">
        <v>5.2442000000000002</v>
      </c>
      <c r="AC57">
        <v>1.2857000000000001</v>
      </c>
      <c r="AD57">
        <v>3.0047000000000001</v>
      </c>
    </row>
    <row r="58" spans="1:30" ht="15.75">
      <c r="A58">
        <v>57</v>
      </c>
      <c r="B58" t="s">
        <v>32</v>
      </c>
      <c r="C58">
        <v>1</v>
      </c>
      <c r="D58" t="s">
        <v>23</v>
      </c>
      <c r="E58">
        <v>14</v>
      </c>
      <c r="F58" t="s">
        <v>24</v>
      </c>
      <c r="G58">
        <v>1.0136000000000001</v>
      </c>
      <c r="H58">
        <v>60.775199999999998</v>
      </c>
      <c r="I58">
        <f>H58-G58</f>
        <v>59.761600000000001</v>
      </c>
      <c r="J58">
        <v>5</v>
      </c>
      <c r="K58">
        <f t="shared" si="10"/>
        <v>57.157143750000003</v>
      </c>
      <c r="L58">
        <f t="shared" si="9"/>
        <v>1.0455665920150181</v>
      </c>
      <c r="M58" s="3">
        <v>3</v>
      </c>
      <c r="N58" s="3">
        <v>37.927</v>
      </c>
      <c r="O58" s="3">
        <v>15.003</v>
      </c>
      <c r="P58" s="3">
        <v>52.9315</v>
      </c>
      <c r="Q58" s="3">
        <v>52.833599999999997</v>
      </c>
      <c r="R58">
        <v>52.212800000000001</v>
      </c>
      <c r="S58">
        <f t="shared" si="2"/>
        <v>14.285800000000002</v>
      </c>
      <c r="T58">
        <f t="shared" si="3"/>
        <v>4.7803772578817449</v>
      </c>
      <c r="U58">
        <f t="shared" si="4"/>
        <v>1.2821509031526981</v>
      </c>
      <c r="V58">
        <f>L58*(U58/100)</f>
        <v>1.3405741502583441E-2</v>
      </c>
    </row>
    <row r="59" spans="1:30">
      <c r="A59">
        <v>58</v>
      </c>
      <c r="B59" t="s">
        <v>32</v>
      </c>
      <c r="C59">
        <v>1</v>
      </c>
      <c r="D59" t="s">
        <v>23</v>
      </c>
      <c r="E59">
        <v>14</v>
      </c>
      <c r="F59" t="s">
        <v>25</v>
      </c>
      <c r="G59">
        <v>1.0165999999999999</v>
      </c>
      <c r="H59">
        <v>65.6845</v>
      </c>
      <c r="I59">
        <f>H59-G59</f>
        <v>64.667900000000003</v>
      </c>
      <c r="J59">
        <v>5</v>
      </c>
      <c r="K59">
        <f t="shared" si="10"/>
        <v>57.157143750000003</v>
      </c>
      <c r="L59">
        <f t="shared" si="9"/>
        <v>1.1314053809765467</v>
      </c>
      <c r="M59" s="4"/>
      <c r="N59" s="4"/>
      <c r="O59" s="4"/>
      <c r="P59" s="4"/>
      <c r="Q59" s="4"/>
      <c r="R59" s="4"/>
      <c r="W59">
        <v>0</v>
      </c>
      <c r="X59">
        <v>0.89939999999999998</v>
      </c>
      <c r="Y59">
        <v>8.2745999999999995</v>
      </c>
      <c r="Z59">
        <v>18.146799999999999</v>
      </c>
      <c r="AA59">
        <v>26.4133</v>
      </c>
      <c r="AB59">
        <v>4.4889999999999999</v>
      </c>
      <c r="AC59">
        <v>1.3004</v>
      </c>
      <c r="AD59">
        <v>3.8816000000000002</v>
      </c>
    </row>
    <row r="60" spans="1:30" ht="15.75">
      <c r="A60">
        <v>59</v>
      </c>
      <c r="B60" t="s">
        <v>32</v>
      </c>
      <c r="C60">
        <v>1</v>
      </c>
      <c r="D60" t="s">
        <v>23</v>
      </c>
      <c r="E60">
        <v>14</v>
      </c>
      <c r="F60" t="s">
        <v>26</v>
      </c>
      <c r="G60">
        <v>1.0179</v>
      </c>
      <c r="H60">
        <v>84.451499999999996</v>
      </c>
      <c r="I60">
        <f>H60-G60</f>
        <v>83.433599999999998</v>
      </c>
      <c r="J60">
        <v>5</v>
      </c>
      <c r="K60">
        <f t="shared" si="10"/>
        <v>57.157143750000003</v>
      </c>
      <c r="L60">
        <f t="shared" si="9"/>
        <v>1.4597230464302198</v>
      </c>
      <c r="M60" s="3">
        <v>304</v>
      </c>
      <c r="N60" s="3">
        <v>40.883000000000003</v>
      </c>
      <c r="O60" s="3">
        <v>15.323399999999999</v>
      </c>
      <c r="P60" s="3">
        <v>56.206400000000002</v>
      </c>
      <c r="Q60" s="3">
        <v>56.113599999999998</v>
      </c>
      <c r="R60">
        <v>55.659300000000002</v>
      </c>
      <c r="S60">
        <f t="shared" si="2"/>
        <v>14.776299999999999</v>
      </c>
      <c r="T60">
        <f t="shared" si="3"/>
        <v>3.5703564483078196</v>
      </c>
      <c r="U60">
        <f t="shared" si="4"/>
        <v>0.79814257932312793</v>
      </c>
      <c r="V60">
        <f>L60*(U60/100)</f>
        <v>1.1650671173752297E-2</v>
      </c>
    </row>
    <row r="61" spans="1:30">
      <c r="A61">
        <v>60</v>
      </c>
      <c r="B61" t="s">
        <v>32</v>
      </c>
      <c r="C61">
        <v>1</v>
      </c>
      <c r="D61" t="s">
        <v>23</v>
      </c>
      <c r="E61">
        <v>14</v>
      </c>
      <c r="F61" t="s">
        <v>27</v>
      </c>
      <c r="G61">
        <v>1.0261</v>
      </c>
      <c r="H61">
        <v>75.295599999999993</v>
      </c>
      <c r="I61">
        <f>H61-G61</f>
        <v>74.269499999999994</v>
      </c>
      <c r="J61">
        <v>5</v>
      </c>
      <c r="K61">
        <f t="shared" si="10"/>
        <v>57.157143750000003</v>
      </c>
      <c r="L61">
        <f t="shared" si="9"/>
        <v>1.2993913818515466</v>
      </c>
      <c r="M61" s="4"/>
      <c r="N61" s="4"/>
      <c r="O61" s="4"/>
      <c r="P61" s="4"/>
      <c r="Q61" s="4"/>
      <c r="R61" s="4"/>
      <c r="W61">
        <v>0</v>
      </c>
      <c r="X61">
        <v>0.36559999999999998</v>
      </c>
      <c r="Y61">
        <v>7.4615</v>
      </c>
      <c r="Z61">
        <v>20.852499999999999</v>
      </c>
      <c r="AA61">
        <v>35.175800000000002</v>
      </c>
      <c r="AB61">
        <v>5.5559000000000003</v>
      </c>
      <c r="AC61">
        <v>1.2205999999999999</v>
      </c>
      <c r="AD61">
        <v>3.2991000000000001</v>
      </c>
    </row>
    <row r="62" spans="1:30" ht="15.75">
      <c r="A62">
        <v>61</v>
      </c>
      <c r="B62" t="s">
        <v>32</v>
      </c>
      <c r="C62">
        <v>1</v>
      </c>
      <c r="D62" t="s">
        <v>28</v>
      </c>
      <c r="E62">
        <v>14</v>
      </c>
      <c r="F62" t="s">
        <v>24</v>
      </c>
      <c r="G62">
        <v>1.0116000000000001</v>
      </c>
      <c r="H62">
        <v>76.961600000000004</v>
      </c>
      <c r="I62">
        <f>H62-G62</f>
        <v>75.95</v>
      </c>
      <c r="J62">
        <v>5</v>
      </c>
      <c r="K62">
        <f t="shared" si="10"/>
        <v>57.157143750000003</v>
      </c>
      <c r="L62">
        <f t="shared" si="9"/>
        <v>1.3287927810423521</v>
      </c>
      <c r="M62" s="3">
        <v>301</v>
      </c>
      <c r="N62" s="3">
        <v>38.746699999999997</v>
      </c>
      <c r="O62" s="3">
        <v>15.0021</v>
      </c>
      <c r="P62" s="3">
        <v>53.749699999999997</v>
      </c>
      <c r="Q62" s="3">
        <v>53.674599999999998</v>
      </c>
      <c r="R62">
        <v>53.124299999999998</v>
      </c>
      <c r="S62">
        <f t="shared" si="2"/>
        <v>14.377600000000001</v>
      </c>
      <c r="T62">
        <f t="shared" si="3"/>
        <v>4.1627505482565734</v>
      </c>
      <c r="U62">
        <f t="shared" si="4"/>
        <v>1.0351002193026293</v>
      </c>
      <c r="V62">
        <f>L62*(U62/100)</f>
        <v>1.3754336990646893E-2</v>
      </c>
    </row>
    <row r="63" spans="1:30">
      <c r="A63">
        <v>62</v>
      </c>
      <c r="B63" t="s">
        <v>32</v>
      </c>
      <c r="C63">
        <v>1</v>
      </c>
      <c r="D63" t="s">
        <v>28</v>
      </c>
      <c r="E63">
        <v>14</v>
      </c>
      <c r="F63" t="s">
        <v>25</v>
      </c>
      <c r="G63">
        <v>1.0173000000000001</v>
      </c>
      <c r="H63">
        <v>70.977999999999994</v>
      </c>
      <c r="I63">
        <f>H63-G63</f>
        <v>69.960699999999989</v>
      </c>
      <c r="J63">
        <v>5</v>
      </c>
      <c r="K63">
        <f t="shared" si="10"/>
        <v>57.157143750000003</v>
      </c>
      <c r="L63">
        <f t="shared" si="9"/>
        <v>1.2240062293175731</v>
      </c>
      <c r="M63" s="4"/>
      <c r="N63" s="4"/>
      <c r="O63" s="4"/>
      <c r="P63" s="4"/>
      <c r="Q63" s="4"/>
      <c r="R63" s="4"/>
      <c r="W63">
        <v>5.3400000000000003E-2</v>
      </c>
      <c r="X63">
        <v>0.63200000000000001</v>
      </c>
      <c r="Y63">
        <v>10.407500000000001</v>
      </c>
      <c r="Z63">
        <v>19.565999999999999</v>
      </c>
      <c r="AA63">
        <v>28.0383</v>
      </c>
      <c r="AB63">
        <v>4.9451000000000001</v>
      </c>
      <c r="AC63">
        <v>1.3801000000000001</v>
      </c>
      <c r="AD63">
        <v>4.0778999999999996</v>
      </c>
    </row>
    <row r="64" spans="1:30" ht="15.75">
      <c r="A64">
        <v>63</v>
      </c>
      <c r="B64" t="s">
        <v>32</v>
      </c>
      <c r="C64">
        <v>1</v>
      </c>
      <c r="D64" t="s">
        <v>28</v>
      </c>
      <c r="E64">
        <v>14</v>
      </c>
      <c r="F64" t="s">
        <v>26</v>
      </c>
      <c r="G64">
        <v>1.0006999999999999</v>
      </c>
      <c r="H64">
        <v>72.823999999999998</v>
      </c>
      <c r="I64">
        <f>H64-G64</f>
        <v>71.823300000000003</v>
      </c>
      <c r="J64">
        <v>5</v>
      </c>
      <c r="K64">
        <f t="shared" si="10"/>
        <v>57.157143750000003</v>
      </c>
      <c r="L64">
        <f t="shared" si="9"/>
        <v>1.2565935819702327</v>
      </c>
      <c r="M64" s="3">
        <v>13</v>
      </c>
      <c r="N64" s="3">
        <v>41.371699999999997</v>
      </c>
      <c r="O64" s="3">
        <v>15.049200000000001</v>
      </c>
      <c r="P64" s="3">
        <v>56.421799999999998</v>
      </c>
      <c r="Q64" s="3">
        <v>56.353400000000001</v>
      </c>
      <c r="R64">
        <v>55.896299999999997</v>
      </c>
      <c r="S64">
        <f t="shared" si="2"/>
        <v>14.5246</v>
      </c>
      <c r="T64">
        <f t="shared" si="3"/>
        <v>3.4858995827020789</v>
      </c>
      <c r="U64">
        <f t="shared" si="4"/>
        <v>0.76435983308083155</v>
      </c>
      <c r="V64">
        <f>L64*(U64/100)</f>
        <v>9.6048966056521135E-3</v>
      </c>
    </row>
    <row r="65" spans="1:30">
      <c r="A65">
        <v>64</v>
      </c>
      <c r="B65" t="s">
        <v>32</v>
      </c>
      <c r="C65">
        <v>1</v>
      </c>
      <c r="D65" t="s">
        <v>28</v>
      </c>
      <c r="E65">
        <v>14</v>
      </c>
      <c r="F65" t="s">
        <v>27</v>
      </c>
      <c r="G65">
        <v>1.0097</v>
      </c>
      <c r="H65">
        <v>70.468100000000007</v>
      </c>
      <c r="I65">
        <f>H65-G65</f>
        <v>69.458400000000012</v>
      </c>
      <c r="J65">
        <v>5</v>
      </c>
      <c r="K65">
        <f t="shared" si="10"/>
        <v>57.157143750000003</v>
      </c>
      <c r="L65">
        <f t="shared" si="9"/>
        <v>1.2152181764680992</v>
      </c>
      <c r="M65" s="4"/>
      <c r="N65" s="4"/>
      <c r="O65" s="4"/>
      <c r="P65" s="4"/>
      <c r="Q65" s="4"/>
      <c r="R65" s="4"/>
      <c r="W65">
        <v>0</v>
      </c>
      <c r="X65">
        <v>0.26590000000000003</v>
      </c>
      <c r="Y65">
        <v>6.3026</v>
      </c>
      <c r="Z65">
        <v>19.4406</v>
      </c>
      <c r="AA65">
        <v>33.5931</v>
      </c>
      <c r="AB65">
        <v>5.2202000000000002</v>
      </c>
      <c r="AC65">
        <v>1.0969</v>
      </c>
      <c r="AD65">
        <v>2.8940000000000001</v>
      </c>
    </row>
    <row r="66" spans="1:30" ht="15.75">
      <c r="A66">
        <v>65</v>
      </c>
      <c r="B66" t="s">
        <v>32</v>
      </c>
      <c r="C66">
        <v>1</v>
      </c>
      <c r="D66" s="5" t="s">
        <v>23</v>
      </c>
      <c r="E66">
        <v>15</v>
      </c>
      <c r="F66" s="5" t="s">
        <v>24</v>
      </c>
      <c r="G66">
        <v>1.0103</v>
      </c>
      <c r="H66">
        <v>76.933400000000006</v>
      </c>
      <c r="I66">
        <f>H66-G66</f>
        <v>75.923100000000005</v>
      </c>
      <c r="J66">
        <v>5</v>
      </c>
      <c r="K66">
        <f t="shared" si="10"/>
        <v>57.157143750000003</v>
      </c>
      <c r="L66">
        <f t="shared" ref="L66:L97" si="11">I66/K66</f>
        <v>1.3283221487077894</v>
      </c>
      <c r="M66" s="3">
        <v>140</v>
      </c>
      <c r="N66" s="3">
        <v>38.648200000000003</v>
      </c>
      <c r="O66" s="3">
        <v>15.040699999999999</v>
      </c>
      <c r="P66" s="3">
        <v>53.6858</v>
      </c>
      <c r="Q66" s="3">
        <v>53.6083</v>
      </c>
      <c r="R66">
        <v>53.077599999999997</v>
      </c>
      <c r="S66">
        <f t="shared" si="2"/>
        <v>14.429399999999994</v>
      </c>
      <c r="T66">
        <f t="shared" si="3"/>
        <v>4.0643055176953551</v>
      </c>
      <c r="U66">
        <f t="shared" si="4"/>
        <v>0.99572220707814207</v>
      </c>
      <c r="V66">
        <f>L66*(U66/100)</f>
        <v>1.3226398616221002E-2</v>
      </c>
    </row>
    <row r="67" spans="1:30">
      <c r="A67">
        <v>66</v>
      </c>
      <c r="B67" t="s">
        <v>32</v>
      </c>
      <c r="C67">
        <v>1</v>
      </c>
      <c r="D67" s="5" t="s">
        <v>23</v>
      </c>
      <c r="E67">
        <v>15</v>
      </c>
      <c r="F67" s="5" t="s">
        <v>25</v>
      </c>
      <c r="G67">
        <v>1.006</v>
      </c>
      <c r="H67">
        <v>80.870400000000004</v>
      </c>
      <c r="I67">
        <f>H67-G67</f>
        <v>79.864400000000003</v>
      </c>
      <c r="J67">
        <v>5</v>
      </c>
      <c r="K67">
        <f t="shared" ref="K67:K130" si="12">0.25*3.15*((7.62/2)^2)*J67</f>
        <v>57.157143750000003</v>
      </c>
      <c r="L67">
        <f t="shared" si="11"/>
        <v>1.3972776587528484</v>
      </c>
      <c r="M67" s="4"/>
      <c r="N67" s="4"/>
      <c r="O67" s="4"/>
      <c r="P67" s="4"/>
      <c r="Q67" s="4"/>
      <c r="R67" s="4"/>
      <c r="W67">
        <v>0.22589999999999999</v>
      </c>
      <c r="X67">
        <v>1.1889000000000001</v>
      </c>
      <c r="Y67">
        <v>12.110200000000001</v>
      </c>
      <c r="Z67">
        <v>20.7105</v>
      </c>
      <c r="AA67">
        <v>31.637799999999999</v>
      </c>
      <c r="AB67">
        <v>6.0807000000000002</v>
      </c>
      <c r="AC67">
        <v>1.8415999999999999</v>
      </c>
      <c r="AD67">
        <v>4.9508000000000001</v>
      </c>
    </row>
    <row r="68" spans="1:30" ht="15.75">
      <c r="A68">
        <v>67</v>
      </c>
      <c r="B68" t="s">
        <v>32</v>
      </c>
      <c r="C68">
        <v>1</v>
      </c>
      <c r="D68" s="5" t="s">
        <v>23</v>
      </c>
      <c r="E68">
        <v>15</v>
      </c>
      <c r="F68" s="5" t="s">
        <v>26</v>
      </c>
      <c r="G68">
        <v>1.0034000000000001</v>
      </c>
      <c r="H68">
        <v>73.490799999999993</v>
      </c>
      <c r="I68">
        <f>H68-G68</f>
        <v>72.487399999999994</v>
      </c>
      <c r="J68">
        <v>5</v>
      </c>
      <c r="K68">
        <f t="shared" si="12"/>
        <v>57.157143750000003</v>
      </c>
      <c r="L68">
        <f t="shared" si="11"/>
        <v>1.2682124270774113</v>
      </c>
      <c r="M68" s="3">
        <v>160</v>
      </c>
      <c r="N68" s="3">
        <v>38.903500000000001</v>
      </c>
      <c r="O68" s="3">
        <v>15.151</v>
      </c>
      <c r="P68" s="3">
        <v>54.054499999999997</v>
      </c>
      <c r="Q68" s="3">
        <v>53.989100000000001</v>
      </c>
      <c r="R68">
        <v>53.512999999999998</v>
      </c>
      <c r="S68">
        <f t="shared" ref="S68:S96" si="13">R68-N68</f>
        <v>14.609499999999997</v>
      </c>
      <c r="T68">
        <f t="shared" ref="T68:T96" si="14">((O68-S68)/O68)*100</f>
        <v>3.574021516731587</v>
      </c>
      <c r="U68">
        <f t="shared" ref="U68:U130" si="15">-0.63+0.4*T68</f>
        <v>0.79960860669263478</v>
      </c>
      <c r="V68">
        <f>L68*(U68/100)</f>
        <v>1.0140735718056536E-2</v>
      </c>
    </row>
    <row r="69" spans="1:30">
      <c r="A69">
        <v>68</v>
      </c>
      <c r="B69" t="s">
        <v>32</v>
      </c>
      <c r="C69">
        <v>1</v>
      </c>
      <c r="D69" s="5" t="s">
        <v>23</v>
      </c>
      <c r="E69">
        <v>15</v>
      </c>
      <c r="F69" s="5" t="s">
        <v>27</v>
      </c>
      <c r="G69">
        <v>0.99050000000000005</v>
      </c>
      <c r="H69">
        <v>77.708500000000001</v>
      </c>
      <c r="I69">
        <f>H69-G69</f>
        <v>76.718000000000004</v>
      </c>
      <c r="J69">
        <v>5</v>
      </c>
      <c r="K69">
        <f t="shared" si="12"/>
        <v>57.157143750000003</v>
      </c>
      <c r="L69">
        <f t="shared" si="11"/>
        <v>1.3422294216722472</v>
      </c>
      <c r="M69" s="4"/>
      <c r="N69" s="4"/>
      <c r="O69" s="4"/>
      <c r="P69" s="4"/>
      <c r="Q69" s="4"/>
      <c r="R69" s="4"/>
      <c r="W69">
        <v>2.7300000000000001E-2</v>
      </c>
      <c r="X69">
        <v>0.6431</v>
      </c>
      <c r="Y69">
        <v>8.61</v>
      </c>
      <c r="Z69">
        <v>19.635000000000002</v>
      </c>
      <c r="AA69">
        <v>33.576099999999997</v>
      </c>
      <c r="AB69">
        <v>6.3697999999999997</v>
      </c>
      <c r="AC69">
        <v>1.8386</v>
      </c>
      <c r="AD69">
        <v>5.5583999999999998</v>
      </c>
    </row>
    <row r="70" spans="1:30" ht="15.75">
      <c r="A70">
        <v>69</v>
      </c>
      <c r="B70" t="s">
        <v>32</v>
      </c>
      <c r="C70">
        <v>1</v>
      </c>
      <c r="D70" s="5" t="s">
        <v>28</v>
      </c>
      <c r="E70">
        <v>15</v>
      </c>
      <c r="F70" s="5" t="s">
        <v>24</v>
      </c>
      <c r="G70">
        <v>0.99739999999999995</v>
      </c>
      <c r="H70">
        <v>78.365700000000004</v>
      </c>
      <c r="I70">
        <f>H70-G70</f>
        <v>77.368300000000005</v>
      </c>
      <c r="J70">
        <v>5</v>
      </c>
      <c r="K70">
        <f t="shared" si="12"/>
        <v>57.157143750000003</v>
      </c>
      <c r="L70">
        <f t="shared" si="11"/>
        <v>1.3536068271431076</v>
      </c>
      <c r="M70" s="3">
        <v>207</v>
      </c>
      <c r="N70" s="3">
        <v>38.224800000000002</v>
      </c>
      <c r="O70" s="3">
        <v>15.0625</v>
      </c>
      <c r="P70" s="3">
        <v>53.288400000000003</v>
      </c>
      <c r="Q70" s="3">
        <v>53.194490000000002</v>
      </c>
      <c r="R70">
        <v>52.666800000000002</v>
      </c>
      <c r="S70">
        <f t="shared" si="13"/>
        <v>14.442</v>
      </c>
      <c r="T70">
        <f t="shared" si="14"/>
        <v>4.1195020746887954</v>
      </c>
      <c r="U70">
        <f t="shared" si="15"/>
        <v>1.0178008298755183</v>
      </c>
      <c r="V70">
        <f>L70*(U70/100)</f>
        <v>1.3777021519914221E-2</v>
      </c>
    </row>
    <row r="71" spans="1:30">
      <c r="A71">
        <v>70</v>
      </c>
      <c r="B71" t="s">
        <v>32</v>
      </c>
      <c r="C71">
        <v>1</v>
      </c>
      <c r="D71" s="5" t="s">
        <v>28</v>
      </c>
      <c r="E71">
        <v>15</v>
      </c>
      <c r="F71" s="5" t="s">
        <v>25</v>
      </c>
      <c r="G71">
        <v>0.99560000000000004</v>
      </c>
      <c r="H71">
        <v>71.511600000000001</v>
      </c>
      <c r="I71">
        <f>H71-G71</f>
        <v>70.516000000000005</v>
      </c>
      <c r="J71">
        <v>5</v>
      </c>
      <c r="K71">
        <f t="shared" si="12"/>
        <v>57.157143750000003</v>
      </c>
      <c r="L71">
        <f t="shared" si="11"/>
        <v>1.233721550335517</v>
      </c>
      <c r="M71" s="4"/>
      <c r="N71" s="4"/>
      <c r="O71" s="4"/>
      <c r="P71" s="4"/>
      <c r="Q71" s="4"/>
      <c r="R71" s="4"/>
      <c r="W71">
        <v>0</v>
      </c>
      <c r="X71">
        <v>0.65559999999999996</v>
      </c>
      <c r="Y71">
        <v>9.4802</v>
      </c>
      <c r="Z71">
        <v>18.830200000000001</v>
      </c>
      <c r="AA71">
        <v>28.008600000000001</v>
      </c>
      <c r="AB71">
        <v>5.8627000000000002</v>
      </c>
      <c r="AC71">
        <v>1.7177</v>
      </c>
      <c r="AD71">
        <v>4.5814000000000004</v>
      </c>
    </row>
    <row r="72" spans="1:30" ht="15.75">
      <c r="A72">
        <v>71</v>
      </c>
      <c r="B72" t="s">
        <v>32</v>
      </c>
      <c r="C72">
        <v>1</v>
      </c>
      <c r="D72" s="5" t="s">
        <v>28</v>
      </c>
      <c r="E72">
        <v>15</v>
      </c>
      <c r="F72" s="5" t="s">
        <v>26</v>
      </c>
      <c r="G72">
        <v>0.99739999999999995</v>
      </c>
      <c r="H72">
        <v>60.935000000000002</v>
      </c>
      <c r="I72">
        <f>H72-G72</f>
        <v>59.937600000000003</v>
      </c>
      <c r="J72">
        <v>5</v>
      </c>
      <c r="K72">
        <f t="shared" si="12"/>
        <v>57.157143750000003</v>
      </c>
      <c r="L72">
        <f t="shared" si="11"/>
        <v>1.0486458221593691</v>
      </c>
      <c r="M72" s="3">
        <v>158</v>
      </c>
      <c r="N72" s="3">
        <v>38.182200000000002</v>
      </c>
      <c r="O72" s="3">
        <v>15.0313</v>
      </c>
      <c r="P72" s="3">
        <v>53.214199999999998</v>
      </c>
      <c r="Q72" s="3">
        <v>53.148699999999998</v>
      </c>
      <c r="R72">
        <v>52.675400000000003</v>
      </c>
      <c r="S72">
        <f t="shared" si="13"/>
        <v>14.493200000000002</v>
      </c>
      <c r="T72">
        <f t="shared" si="14"/>
        <v>3.5798633518058871</v>
      </c>
      <c r="U72">
        <f t="shared" si="15"/>
        <v>0.80194534072235502</v>
      </c>
      <c r="V72">
        <f>L72*(U72/100)</f>
        <v>8.4095663114866926E-3</v>
      </c>
    </row>
    <row r="73" spans="1:30">
      <c r="A73">
        <v>72</v>
      </c>
      <c r="B73" t="s">
        <v>32</v>
      </c>
      <c r="C73">
        <v>1</v>
      </c>
      <c r="D73" s="5" t="s">
        <v>28</v>
      </c>
      <c r="E73">
        <v>15</v>
      </c>
      <c r="F73" s="5" t="s">
        <v>27</v>
      </c>
      <c r="G73">
        <v>0.9919</v>
      </c>
      <c r="H73">
        <v>72.148799999999994</v>
      </c>
      <c r="I73">
        <f>H73-G73</f>
        <v>71.156899999999993</v>
      </c>
      <c r="J73">
        <v>5</v>
      </c>
      <c r="K73">
        <f t="shared" si="12"/>
        <v>57.157143750000003</v>
      </c>
      <c r="L73">
        <f t="shared" si="11"/>
        <v>1.2449344969236673</v>
      </c>
      <c r="M73" s="4"/>
      <c r="N73" s="4"/>
      <c r="O73" s="4"/>
      <c r="P73" s="4"/>
      <c r="Q73" s="4"/>
      <c r="R73" s="4"/>
      <c r="W73">
        <v>1.3131999999999999</v>
      </c>
      <c r="X73">
        <v>1.0964</v>
      </c>
      <c r="Y73">
        <v>8.8605999999999998</v>
      </c>
      <c r="Z73">
        <v>17.261600000000001</v>
      </c>
      <c r="AA73">
        <v>22.714300000000001</v>
      </c>
      <c r="AB73">
        <v>4.3205</v>
      </c>
      <c r="AC73">
        <v>1.1935</v>
      </c>
      <c r="AD73">
        <v>2.706</v>
      </c>
    </row>
    <row r="74" spans="1:30" ht="15.75">
      <c r="A74">
        <v>73</v>
      </c>
      <c r="B74" t="s">
        <v>32</v>
      </c>
      <c r="C74">
        <v>1</v>
      </c>
      <c r="D74" s="5" t="s">
        <v>29</v>
      </c>
      <c r="E74">
        <v>13</v>
      </c>
      <c r="F74" s="5" t="s">
        <v>24</v>
      </c>
      <c r="G74">
        <v>0.99860000000000004</v>
      </c>
      <c r="H74">
        <v>77.757499999999993</v>
      </c>
      <c r="I74">
        <f>H74-G74</f>
        <v>76.758899999999997</v>
      </c>
      <c r="J74">
        <v>5</v>
      </c>
      <c r="K74">
        <f t="shared" si="12"/>
        <v>57.157143750000003</v>
      </c>
      <c r="L74">
        <f t="shared" si="11"/>
        <v>1.3429449927682924</v>
      </c>
      <c r="M74" s="3">
        <v>0</v>
      </c>
      <c r="N74" s="3">
        <v>38.139899999999997</v>
      </c>
      <c r="O74" s="3">
        <v>15.012499999999999</v>
      </c>
      <c r="P74" s="3">
        <v>53.153799999999997</v>
      </c>
      <c r="Q74" s="3">
        <v>53.0807</v>
      </c>
      <c r="R74">
        <v>52.599299999999999</v>
      </c>
      <c r="S74">
        <f t="shared" si="13"/>
        <v>14.459400000000002</v>
      </c>
      <c r="T74">
        <f t="shared" si="14"/>
        <v>3.6842631140715878</v>
      </c>
      <c r="U74">
        <f t="shared" si="15"/>
        <v>0.84370524562863525</v>
      </c>
      <c r="V74">
        <f>L74*(U74/100)</f>
        <v>1.1330497349893179E-2</v>
      </c>
    </row>
    <row r="75" spans="1:30">
      <c r="A75">
        <v>74</v>
      </c>
      <c r="B75" t="s">
        <v>32</v>
      </c>
      <c r="C75">
        <v>1</v>
      </c>
      <c r="D75" s="5" t="s">
        <v>29</v>
      </c>
      <c r="E75">
        <v>13</v>
      </c>
      <c r="F75" s="5" t="s">
        <v>25</v>
      </c>
      <c r="G75">
        <v>1.0008999999999999</v>
      </c>
      <c r="H75">
        <v>73.543300000000002</v>
      </c>
      <c r="I75">
        <f>H75-G75</f>
        <v>72.542400000000001</v>
      </c>
      <c r="J75">
        <v>5</v>
      </c>
      <c r="K75">
        <f t="shared" si="12"/>
        <v>57.157143750000003</v>
      </c>
      <c r="L75">
        <f t="shared" si="11"/>
        <v>1.2691746864975211</v>
      </c>
      <c r="M75" s="4"/>
      <c r="N75" s="4"/>
      <c r="O75" s="4"/>
      <c r="P75" s="4"/>
      <c r="Q75" s="4"/>
      <c r="R75" s="4"/>
      <c r="W75">
        <v>0</v>
      </c>
      <c r="X75">
        <v>1.5771999999999999</v>
      </c>
      <c r="Y75">
        <v>13.4887</v>
      </c>
      <c r="Z75">
        <v>16.218900000000001</v>
      </c>
      <c r="AA75">
        <v>22.8476</v>
      </c>
      <c r="AB75">
        <v>7.0160999999999998</v>
      </c>
      <c r="AC75">
        <v>2.4214000000000002</v>
      </c>
      <c r="AD75">
        <v>7.1756000000000002</v>
      </c>
    </row>
    <row r="76" spans="1:30" ht="15.75">
      <c r="A76">
        <v>75</v>
      </c>
      <c r="B76" t="s">
        <v>32</v>
      </c>
      <c r="C76">
        <v>1</v>
      </c>
      <c r="D76" s="5" t="s">
        <v>29</v>
      </c>
      <c r="E76">
        <v>13</v>
      </c>
      <c r="F76" s="5" t="s">
        <v>26</v>
      </c>
      <c r="G76">
        <v>1.0207999999999999</v>
      </c>
      <c r="H76">
        <v>58.288200000000003</v>
      </c>
      <c r="I76">
        <f>H76-G76</f>
        <v>57.267400000000002</v>
      </c>
      <c r="J76">
        <v>5</v>
      </c>
      <c r="K76">
        <f t="shared" si="12"/>
        <v>57.157143750000003</v>
      </c>
      <c r="L76">
        <f t="shared" si="11"/>
        <v>1.0019290020943357</v>
      </c>
      <c r="M76" s="3">
        <v>307</v>
      </c>
      <c r="N76" s="3">
        <v>40.422699999999999</v>
      </c>
      <c r="O76" s="3">
        <v>15.0022</v>
      </c>
      <c r="P76" s="3">
        <v>55.4253</v>
      </c>
      <c r="Q76" s="3">
        <v>55.328000000000003</v>
      </c>
      <c r="R76">
        <v>54.687600000000003</v>
      </c>
      <c r="S76">
        <f t="shared" si="13"/>
        <v>14.264900000000004</v>
      </c>
      <c r="T76">
        <f t="shared" si="14"/>
        <v>4.9146125234965261</v>
      </c>
      <c r="U76">
        <f t="shared" si="15"/>
        <v>1.3358450093986107</v>
      </c>
      <c r="V76">
        <f>L76*(U76/100)</f>
        <v>1.3384218572194486E-2</v>
      </c>
    </row>
    <row r="77" spans="1:30">
      <c r="A77">
        <v>76</v>
      </c>
      <c r="B77" t="s">
        <v>32</v>
      </c>
      <c r="C77">
        <v>1</v>
      </c>
      <c r="D77" s="5" t="s">
        <v>29</v>
      </c>
      <c r="E77">
        <v>13</v>
      </c>
      <c r="F77" s="5" t="s">
        <v>27</v>
      </c>
      <c r="G77">
        <v>1.0213000000000001</v>
      </c>
      <c r="H77">
        <v>66.663799999999995</v>
      </c>
      <c r="I77">
        <f>H77-G77</f>
        <v>65.642499999999998</v>
      </c>
      <c r="J77">
        <v>5</v>
      </c>
      <c r="K77">
        <f t="shared" si="12"/>
        <v>57.157143750000003</v>
      </c>
      <c r="L77">
        <f t="shared" si="11"/>
        <v>1.1484566179008899</v>
      </c>
      <c r="M77" s="4"/>
      <c r="N77" s="4"/>
      <c r="O77" s="4"/>
      <c r="P77" s="4"/>
      <c r="Q77" s="4"/>
      <c r="R77" s="4"/>
      <c r="W77">
        <v>1.502</v>
      </c>
      <c r="X77">
        <v>3.4262000000000001</v>
      </c>
      <c r="Y77">
        <v>13.714700000000001</v>
      </c>
      <c r="Z77">
        <v>12.597799999999999</v>
      </c>
      <c r="AA77">
        <v>15.8969</v>
      </c>
      <c r="AB77">
        <v>5.9009</v>
      </c>
      <c r="AC77">
        <v>2.3647</v>
      </c>
      <c r="AD77">
        <v>7.0515999999999996</v>
      </c>
    </row>
    <row r="78" spans="1:30" ht="15.75">
      <c r="A78">
        <v>77</v>
      </c>
      <c r="B78" t="s">
        <v>32</v>
      </c>
      <c r="C78">
        <v>1</v>
      </c>
      <c r="D78" s="5" t="s">
        <v>30</v>
      </c>
      <c r="E78">
        <v>13</v>
      </c>
      <c r="F78" s="5" t="s">
        <v>24</v>
      </c>
      <c r="G78">
        <v>1.0230999999999999</v>
      </c>
      <c r="H78">
        <v>78.623099999999994</v>
      </c>
      <c r="I78">
        <f>H78-G78</f>
        <v>77.599999999999994</v>
      </c>
      <c r="J78">
        <v>5</v>
      </c>
      <c r="K78">
        <f t="shared" si="12"/>
        <v>57.157143750000003</v>
      </c>
      <c r="L78">
        <f t="shared" si="11"/>
        <v>1.357660563645642</v>
      </c>
      <c r="M78" s="3">
        <v>203</v>
      </c>
      <c r="N78" s="3">
        <v>40.563299999999998</v>
      </c>
      <c r="O78" s="3">
        <v>15.0166</v>
      </c>
      <c r="P78" s="3">
        <v>55.5809</v>
      </c>
      <c r="Q78" s="3">
        <v>55.521500000000003</v>
      </c>
      <c r="R78">
        <v>55.060200000000002</v>
      </c>
      <c r="S78">
        <f t="shared" si="13"/>
        <v>14.496900000000004</v>
      </c>
      <c r="T78">
        <f t="shared" si="14"/>
        <v>3.460836674080662</v>
      </c>
      <c r="U78">
        <f t="shared" si="15"/>
        <v>0.75433466963226492</v>
      </c>
      <c r="V78">
        <f>L78*(U78/100)</f>
        <v>1.0241304327503899E-2</v>
      </c>
    </row>
    <row r="79" spans="1:30">
      <c r="A79">
        <v>78</v>
      </c>
      <c r="B79" t="s">
        <v>32</v>
      </c>
      <c r="C79">
        <v>1</v>
      </c>
      <c r="D79" s="5" t="s">
        <v>30</v>
      </c>
      <c r="E79">
        <v>13</v>
      </c>
      <c r="F79" s="5" t="s">
        <v>25</v>
      </c>
      <c r="G79">
        <v>1.0234000000000001</v>
      </c>
      <c r="H79">
        <v>80.015199999999993</v>
      </c>
      <c r="I79">
        <f>H79-G79</f>
        <v>78.991799999999998</v>
      </c>
      <c r="J79">
        <v>5</v>
      </c>
      <c r="K79">
        <f t="shared" si="12"/>
        <v>57.157143750000003</v>
      </c>
      <c r="L79">
        <f t="shared" si="11"/>
        <v>1.3820109756621628</v>
      </c>
      <c r="M79" s="4"/>
      <c r="N79" s="4"/>
      <c r="O79" s="4"/>
      <c r="P79" s="4"/>
      <c r="Q79" s="4"/>
      <c r="R79" s="4"/>
      <c r="W79">
        <v>0.87809999999999999</v>
      </c>
      <c r="X79">
        <v>2.3340999999999998</v>
      </c>
      <c r="Y79">
        <v>17.8795</v>
      </c>
      <c r="Z79">
        <v>20.161100000000001</v>
      </c>
      <c r="AA79">
        <v>22.844999999999999</v>
      </c>
      <c r="AB79">
        <v>6.1577000000000002</v>
      </c>
      <c r="AC79">
        <v>2.1025999999999998</v>
      </c>
      <c r="AD79">
        <v>6.0037000000000003</v>
      </c>
    </row>
    <row r="80" spans="1:30" ht="15.75">
      <c r="A80">
        <v>79</v>
      </c>
      <c r="B80" t="s">
        <v>32</v>
      </c>
      <c r="C80">
        <v>1</v>
      </c>
      <c r="D80" s="5" t="s">
        <v>30</v>
      </c>
      <c r="E80">
        <v>13</v>
      </c>
      <c r="F80" s="5" t="s">
        <v>26</v>
      </c>
      <c r="G80">
        <v>1.0184</v>
      </c>
      <c r="H80">
        <v>77.018100000000004</v>
      </c>
      <c r="I80">
        <f>H80-G80</f>
        <v>75.999700000000004</v>
      </c>
      <c r="J80">
        <v>5</v>
      </c>
      <c r="K80">
        <f t="shared" si="12"/>
        <v>57.157143750000003</v>
      </c>
      <c r="L80">
        <f t="shared" si="11"/>
        <v>1.3296623136456149</v>
      </c>
      <c r="M80" s="3">
        <v>202</v>
      </c>
      <c r="N80" s="3">
        <v>39.366700000000002</v>
      </c>
      <c r="O80" s="3">
        <v>15.006399999999999</v>
      </c>
      <c r="P80" s="3">
        <v>54.374600000000001</v>
      </c>
      <c r="Q80" s="3">
        <v>54.310899999999997</v>
      </c>
      <c r="R80">
        <v>53.839799999999997</v>
      </c>
      <c r="S80">
        <f t="shared" si="13"/>
        <v>14.473099999999995</v>
      </c>
      <c r="T80">
        <f t="shared" si="14"/>
        <v>3.5538170380637868</v>
      </c>
      <c r="U80">
        <f t="shared" si="15"/>
        <v>0.79152681522551471</v>
      </c>
      <c r="V80">
        <f>L80*(U80/100)</f>
        <v>1.0524633764453031E-2</v>
      </c>
    </row>
    <row r="81" spans="1:30">
      <c r="A81">
        <v>80</v>
      </c>
      <c r="B81" t="s">
        <v>32</v>
      </c>
      <c r="C81">
        <v>1</v>
      </c>
      <c r="D81" s="5" t="s">
        <v>30</v>
      </c>
      <c r="E81">
        <v>13</v>
      </c>
      <c r="F81" s="5" t="s">
        <v>27</v>
      </c>
      <c r="G81">
        <v>1.0216000000000001</v>
      </c>
      <c r="H81">
        <v>69.350099999999998</v>
      </c>
      <c r="I81">
        <f>H81-G81</f>
        <v>68.328499999999991</v>
      </c>
      <c r="J81">
        <v>5</v>
      </c>
      <c r="K81">
        <f t="shared" si="12"/>
        <v>57.157143750000003</v>
      </c>
      <c r="L81">
        <f t="shared" si="11"/>
        <v>1.1954498688538822</v>
      </c>
      <c r="M81" s="4"/>
      <c r="N81" s="4"/>
      <c r="O81" s="4"/>
      <c r="P81" s="4"/>
      <c r="Q81" s="4"/>
      <c r="R81" s="4"/>
      <c r="W81">
        <v>1.3007</v>
      </c>
      <c r="X81">
        <v>2.3361999999999998</v>
      </c>
      <c r="Y81">
        <v>14.356199999999999</v>
      </c>
      <c r="Z81">
        <v>15.701499999999999</v>
      </c>
      <c r="AA81">
        <v>20.126799999999999</v>
      </c>
      <c r="AB81">
        <v>6.1124999999999998</v>
      </c>
      <c r="AC81">
        <v>2.1053000000000002</v>
      </c>
      <c r="AD81">
        <v>6.1285999999999996</v>
      </c>
    </row>
    <row r="82" spans="1:30" ht="15.75">
      <c r="A82">
        <v>81</v>
      </c>
      <c r="B82" t="s">
        <v>32</v>
      </c>
      <c r="C82">
        <v>1</v>
      </c>
      <c r="D82" s="5" t="s">
        <v>29</v>
      </c>
      <c r="E82">
        <v>14</v>
      </c>
      <c r="F82" s="5" t="s">
        <v>24</v>
      </c>
      <c r="G82">
        <v>1.0178</v>
      </c>
      <c r="H82">
        <v>71.318799999999996</v>
      </c>
      <c r="I82">
        <f>H82-G82</f>
        <v>70.301000000000002</v>
      </c>
      <c r="J82">
        <v>5</v>
      </c>
      <c r="K82">
        <f t="shared" si="12"/>
        <v>57.157143750000003</v>
      </c>
      <c r="L82">
        <f t="shared" si="11"/>
        <v>1.2299599907841792</v>
      </c>
      <c r="M82" s="3">
        <v>206</v>
      </c>
      <c r="N82" s="3">
        <v>42.209099999999999</v>
      </c>
      <c r="O82" s="3">
        <v>15.309699999999999</v>
      </c>
      <c r="P82" s="3">
        <v>56.518599999999999</v>
      </c>
      <c r="Q82" s="3">
        <v>56.412300000000002</v>
      </c>
      <c r="R82">
        <v>55.851100000000002</v>
      </c>
      <c r="S82">
        <f t="shared" si="13"/>
        <v>13.642000000000003</v>
      </c>
      <c r="T82">
        <f t="shared" si="14"/>
        <v>10.893093920847544</v>
      </c>
      <c r="U82">
        <f t="shared" si="15"/>
        <v>3.7272375683390182</v>
      </c>
      <c r="V82">
        <f>L82*(U82/100)</f>
        <v>4.5843530852047051E-2</v>
      </c>
    </row>
    <row r="83" spans="1:30">
      <c r="A83">
        <v>82</v>
      </c>
      <c r="B83" t="s">
        <v>32</v>
      </c>
      <c r="C83">
        <v>1</v>
      </c>
      <c r="D83" s="5" t="s">
        <v>29</v>
      </c>
      <c r="E83">
        <v>14</v>
      </c>
      <c r="F83" s="5" t="s">
        <v>25</v>
      </c>
      <c r="G83">
        <v>1.0111000000000001</v>
      </c>
      <c r="H83">
        <v>69.500699999999995</v>
      </c>
      <c r="I83">
        <f>H83-G83</f>
        <v>68.489599999999996</v>
      </c>
      <c r="J83">
        <v>5</v>
      </c>
      <c r="K83">
        <f t="shared" si="12"/>
        <v>57.157143750000003</v>
      </c>
      <c r="L83">
        <f t="shared" si="11"/>
        <v>1.1982684141735125</v>
      </c>
      <c r="M83" s="4"/>
      <c r="N83" s="4"/>
      <c r="O83" s="4"/>
      <c r="P83" s="4"/>
      <c r="Q83" s="4"/>
      <c r="R83" s="4"/>
      <c r="W83">
        <v>1.5876999999999999</v>
      </c>
      <c r="X83">
        <v>3.1046</v>
      </c>
      <c r="Y83">
        <v>15.6518</v>
      </c>
      <c r="Z83">
        <v>16.841200000000001</v>
      </c>
      <c r="AA83">
        <v>19.598600000000001</v>
      </c>
      <c r="AB83">
        <v>5.2134999999999998</v>
      </c>
      <c r="AC83">
        <v>1.629</v>
      </c>
      <c r="AD83">
        <v>4.5410000000000004</v>
      </c>
    </row>
    <row r="84" spans="1:30" ht="15.75">
      <c r="A84">
        <v>83</v>
      </c>
      <c r="B84" t="s">
        <v>32</v>
      </c>
      <c r="C84">
        <v>1</v>
      </c>
      <c r="D84" s="5" t="s">
        <v>29</v>
      </c>
      <c r="E84">
        <v>14</v>
      </c>
      <c r="F84" s="5" t="s">
        <v>26</v>
      </c>
      <c r="G84">
        <v>1.0035000000000001</v>
      </c>
      <c r="H84">
        <v>54.994100000000003</v>
      </c>
      <c r="I84">
        <f>H84-G84</f>
        <v>53.990600000000001</v>
      </c>
      <c r="J84">
        <v>5</v>
      </c>
      <c r="K84">
        <f t="shared" si="12"/>
        <v>57.157143750000003</v>
      </c>
      <c r="L84">
        <f t="shared" si="11"/>
        <v>0.94459933540678365</v>
      </c>
      <c r="M84" s="3">
        <v>155</v>
      </c>
      <c r="N84" s="3">
        <v>42.403300000000002</v>
      </c>
      <c r="O84" s="3">
        <v>15.178699999999999</v>
      </c>
      <c r="P84" s="3">
        <v>57.5822</v>
      </c>
      <c r="Q84" s="3">
        <v>57.505099999999999</v>
      </c>
      <c r="R84">
        <v>57.041600000000003</v>
      </c>
      <c r="S84">
        <f t="shared" si="13"/>
        <v>14.638300000000001</v>
      </c>
      <c r="T84">
        <f t="shared" si="14"/>
        <v>3.5602521955108033</v>
      </c>
      <c r="U84">
        <f t="shared" si="15"/>
        <v>0.7941008782043214</v>
      </c>
      <c r="V84">
        <f>L84*(U84/100)</f>
        <v>7.5010716179774528E-3</v>
      </c>
    </row>
    <row r="85" spans="1:30">
      <c r="A85">
        <v>84</v>
      </c>
      <c r="B85" t="s">
        <v>32</v>
      </c>
      <c r="C85">
        <v>1</v>
      </c>
      <c r="D85" s="5" t="s">
        <v>29</v>
      </c>
      <c r="E85">
        <v>14</v>
      </c>
      <c r="F85" s="5" t="s">
        <v>27</v>
      </c>
      <c r="G85">
        <v>1.0071000000000001</v>
      </c>
      <c r="H85">
        <v>51.983600000000003</v>
      </c>
      <c r="I85">
        <f>H85-G85</f>
        <v>50.976500000000001</v>
      </c>
      <c r="J85">
        <v>5</v>
      </c>
      <c r="K85">
        <f t="shared" si="12"/>
        <v>57.157143750000003</v>
      </c>
      <c r="L85">
        <f t="shared" si="11"/>
        <v>0.89186576962219177</v>
      </c>
      <c r="M85" s="4"/>
      <c r="N85" s="4"/>
      <c r="O85" s="4"/>
      <c r="P85" s="4"/>
      <c r="Q85" s="4"/>
      <c r="R85" s="4"/>
      <c r="W85">
        <v>0</v>
      </c>
      <c r="X85">
        <v>2.2473999999999998</v>
      </c>
      <c r="Y85">
        <v>9.5715000000000003</v>
      </c>
      <c r="Z85">
        <v>10.7347</v>
      </c>
      <c r="AA85">
        <v>14.324999999999999</v>
      </c>
      <c r="AB85">
        <v>4.5260999999999996</v>
      </c>
      <c r="AC85">
        <v>1.3996</v>
      </c>
      <c r="AD85">
        <v>3.4388999999999998</v>
      </c>
    </row>
    <row r="86" spans="1:30" ht="15.75">
      <c r="A86">
        <v>85</v>
      </c>
      <c r="B86" t="s">
        <v>32</v>
      </c>
      <c r="C86">
        <v>1</v>
      </c>
      <c r="D86" s="5" t="s">
        <v>30</v>
      </c>
      <c r="E86">
        <v>14</v>
      </c>
      <c r="F86" s="5" t="s">
        <v>24</v>
      </c>
      <c r="G86">
        <v>1.0086999999999999</v>
      </c>
      <c r="H86">
        <v>61.287599999999998</v>
      </c>
      <c r="I86">
        <f>H86-G86</f>
        <v>60.2789</v>
      </c>
      <c r="J86">
        <v>5</v>
      </c>
      <c r="K86">
        <f t="shared" si="12"/>
        <v>57.157143750000003</v>
      </c>
      <c r="L86">
        <f t="shared" si="11"/>
        <v>1.054617079251795</v>
      </c>
      <c r="M86" s="3">
        <v>100</v>
      </c>
      <c r="N86" s="3">
        <v>40.500300000000003</v>
      </c>
      <c r="O86" s="3">
        <v>15.3003</v>
      </c>
      <c r="P86" s="3">
        <v>55.801299999999998</v>
      </c>
      <c r="Q86" s="3">
        <v>55.722000000000001</v>
      </c>
      <c r="R86">
        <v>55.264600000000002</v>
      </c>
      <c r="S86">
        <f t="shared" si="13"/>
        <v>14.764299999999999</v>
      </c>
      <c r="T86">
        <f t="shared" si="14"/>
        <v>3.5031992836741854</v>
      </c>
      <c r="U86">
        <f t="shared" si="15"/>
        <v>0.77127971346967417</v>
      </c>
      <c r="V86">
        <f>L86*(U86/100)</f>
        <v>8.1340475870554912E-3</v>
      </c>
    </row>
    <row r="87" spans="1:30">
      <c r="A87">
        <v>86</v>
      </c>
      <c r="B87" t="s">
        <v>32</v>
      </c>
      <c r="C87">
        <v>1</v>
      </c>
      <c r="D87" s="5" t="s">
        <v>30</v>
      </c>
      <c r="E87">
        <v>14</v>
      </c>
      <c r="F87" s="5" t="s">
        <v>25</v>
      </c>
      <c r="G87">
        <v>1.0130999999999999</v>
      </c>
      <c r="H87">
        <v>68.718599999999995</v>
      </c>
      <c r="I87">
        <f>H87-G87</f>
        <v>67.705500000000001</v>
      </c>
      <c r="J87">
        <v>5</v>
      </c>
      <c r="K87">
        <f t="shared" si="12"/>
        <v>57.157143750000003</v>
      </c>
      <c r="L87">
        <f t="shared" si="11"/>
        <v>1.1845500939679128</v>
      </c>
      <c r="M87" s="4"/>
      <c r="N87" s="4"/>
      <c r="O87" s="4"/>
      <c r="P87" s="4"/>
      <c r="Q87" s="4"/>
      <c r="R87" s="4"/>
      <c r="W87">
        <v>3.3780000000000001</v>
      </c>
      <c r="X87">
        <v>2.8126000000000002</v>
      </c>
      <c r="Y87">
        <v>14.3971</v>
      </c>
      <c r="Z87">
        <v>15.3857</v>
      </c>
      <c r="AA87">
        <v>18.439800000000002</v>
      </c>
      <c r="AB87">
        <v>5.7582000000000004</v>
      </c>
      <c r="AC87">
        <v>1.8488</v>
      </c>
      <c r="AD87">
        <v>5.2313999999999998</v>
      </c>
    </row>
    <row r="88" spans="1:30" ht="15.75">
      <c r="A88">
        <v>87</v>
      </c>
      <c r="B88" t="s">
        <v>32</v>
      </c>
      <c r="C88">
        <v>1</v>
      </c>
      <c r="D88" s="5" t="s">
        <v>30</v>
      </c>
      <c r="E88">
        <v>14</v>
      </c>
      <c r="F88" s="5" t="s">
        <v>26</v>
      </c>
      <c r="G88">
        <v>1.0004</v>
      </c>
      <c r="H88">
        <v>61.319600000000001</v>
      </c>
      <c r="I88">
        <f>H88-G88</f>
        <v>60.319200000000002</v>
      </c>
      <c r="J88">
        <v>5</v>
      </c>
      <c r="K88">
        <f t="shared" si="12"/>
        <v>57.157143750000003</v>
      </c>
      <c r="L88">
        <f t="shared" si="11"/>
        <v>1.0553221529723482</v>
      </c>
      <c r="M88" s="3">
        <v>101</v>
      </c>
      <c r="N88" s="3">
        <v>38.3596</v>
      </c>
      <c r="O88" s="3">
        <v>15.1271</v>
      </c>
      <c r="P88" s="3">
        <v>53.486800000000002</v>
      </c>
      <c r="Q88" s="3">
        <v>53.402500000000003</v>
      </c>
      <c r="R88">
        <v>52.898200000000003</v>
      </c>
      <c r="S88">
        <f t="shared" si="13"/>
        <v>14.538600000000002</v>
      </c>
      <c r="T88">
        <f t="shared" si="14"/>
        <v>3.8903689405107258</v>
      </c>
      <c r="U88">
        <f t="shared" si="15"/>
        <v>0.92614757620429045</v>
      </c>
      <c r="V88">
        <f>L88*(U88/100)</f>
        <v>9.7738405409003373E-3</v>
      </c>
    </row>
    <row r="89" spans="1:30">
      <c r="A89">
        <v>88</v>
      </c>
      <c r="B89" t="s">
        <v>32</v>
      </c>
      <c r="C89">
        <v>1</v>
      </c>
      <c r="D89" s="5" t="s">
        <v>30</v>
      </c>
      <c r="E89">
        <v>14</v>
      </c>
      <c r="F89" s="5" t="s">
        <v>27</v>
      </c>
      <c r="G89">
        <v>1.0073000000000001</v>
      </c>
      <c r="H89">
        <v>54.956499999999998</v>
      </c>
      <c r="I89">
        <f>H89-G89</f>
        <v>53.949199999999998</v>
      </c>
      <c r="J89">
        <v>5</v>
      </c>
      <c r="K89">
        <f t="shared" si="12"/>
        <v>57.157143750000003</v>
      </c>
      <c r="L89">
        <f t="shared" si="11"/>
        <v>0.94387501649782835</v>
      </c>
      <c r="M89" s="4"/>
      <c r="N89" s="4"/>
      <c r="O89" s="4"/>
      <c r="P89" s="4"/>
      <c r="Q89" s="4"/>
      <c r="R89" s="4"/>
      <c r="W89">
        <v>10.995699999999999</v>
      </c>
      <c r="X89">
        <v>5.2675999999999998</v>
      </c>
      <c r="Y89">
        <v>9.7416999999999998</v>
      </c>
      <c r="Z89">
        <v>8.7805999999999997</v>
      </c>
      <c r="AA89">
        <v>10.9421</v>
      </c>
      <c r="AB89">
        <v>3.4914000000000001</v>
      </c>
      <c r="AC89">
        <v>1.1845000000000001</v>
      </c>
      <c r="AD89">
        <v>2.9725999999999999</v>
      </c>
    </row>
    <row r="90" spans="1:30" ht="15.75">
      <c r="A90">
        <v>89</v>
      </c>
      <c r="B90" t="s">
        <v>32</v>
      </c>
      <c r="C90">
        <v>1</v>
      </c>
      <c r="D90" s="5" t="s">
        <v>29</v>
      </c>
      <c r="E90">
        <v>15</v>
      </c>
      <c r="F90" s="5" t="s">
        <v>24</v>
      </c>
      <c r="G90">
        <v>1.0089999999999999</v>
      </c>
      <c r="H90">
        <v>80.622299999999996</v>
      </c>
      <c r="I90">
        <f>H90-G90</f>
        <v>79.613299999999995</v>
      </c>
      <c r="J90">
        <v>5</v>
      </c>
      <c r="K90">
        <f t="shared" si="12"/>
        <v>57.157143750000003</v>
      </c>
      <c r="L90">
        <f t="shared" si="11"/>
        <v>1.392884507109402</v>
      </c>
      <c r="M90" s="3">
        <v>302</v>
      </c>
      <c r="N90" s="3">
        <v>38.879199999999997</v>
      </c>
      <c r="O90" s="3">
        <v>15.054</v>
      </c>
      <c r="P90" s="3">
        <v>53.9343</v>
      </c>
      <c r="Q90" s="3">
        <v>53.872999999999998</v>
      </c>
      <c r="R90">
        <v>53.423499999999997</v>
      </c>
      <c r="S90">
        <f t="shared" si="13"/>
        <v>14.5443</v>
      </c>
      <c r="T90">
        <f t="shared" si="14"/>
        <v>3.3858110801116017</v>
      </c>
      <c r="U90">
        <f t="shared" si="15"/>
        <v>0.72432443204464081</v>
      </c>
      <c r="V90">
        <f>L90*(U90/100)</f>
        <v>1.008900279515797E-2</v>
      </c>
    </row>
    <row r="91" spans="1:30">
      <c r="A91">
        <v>90</v>
      </c>
      <c r="B91" t="s">
        <v>32</v>
      </c>
      <c r="C91">
        <v>1</v>
      </c>
      <c r="D91" s="5" t="s">
        <v>29</v>
      </c>
      <c r="E91">
        <v>15</v>
      </c>
      <c r="F91" s="5" t="s">
        <v>25</v>
      </c>
      <c r="G91">
        <v>1.0193000000000001</v>
      </c>
      <c r="H91">
        <v>78.393900000000002</v>
      </c>
      <c r="I91">
        <f>H91-G91</f>
        <v>77.374600000000001</v>
      </c>
      <c r="J91">
        <v>5</v>
      </c>
      <c r="K91">
        <f t="shared" si="12"/>
        <v>57.157143750000003</v>
      </c>
      <c r="L91">
        <f t="shared" si="11"/>
        <v>1.3537170495857747</v>
      </c>
      <c r="M91" s="4"/>
      <c r="N91" s="4"/>
      <c r="O91" s="4"/>
      <c r="P91" s="4"/>
      <c r="Q91" s="4"/>
      <c r="R91" s="4"/>
      <c r="W91">
        <v>3.9317000000000002</v>
      </c>
      <c r="X91">
        <v>1.6094999999999999</v>
      </c>
      <c r="Y91">
        <v>16.064599999999999</v>
      </c>
      <c r="Z91">
        <v>19.821899999999999</v>
      </c>
      <c r="AA91">
        <v>23.2959</v>
      </c>
      <c r="AB91">
        <v>5.7435</v>
      </c>
      <c r="AC91">
        <v>1.75</v>
      </c>
      <c r="AD91">
        <v>4.7758000000000003</v>
      </c>
    </row>
    <row r="92" spans="1:30" ht="15.75">
      <c r="A92">
        <v>91</v>
      </c>
      <c r="B92" t="s">
        <v>32</v>
      </c>
      <c r="C92">
        <v>1</v>
      </c>
      <c r="D92" s="5" t="s">
        <v>29</v>
      </c>
      <c r="E92">
        <v>15</v>
      </c>
      <c r="F92" s="5" t="s">
        <v>26</v>
      </c>
      <c r="G92">
        <v>0.99150000000000005</v>
      </c>
      <c r="H92">
        <v>80.718800000000002</v>
      </c>
      <c r="I92">
        <f>H92-G92</f>
        <v>79.7273</v>
      </c>
      <c r="J92">
        <v>5</v>
      </c>
      <c r="K92">
        <f t="shared" si="12"/>
        <v>57.157143750000003</v>
      </c>
      <c r="L92">
        <f t="shared" si="11"/>
        <v>1.3948790084529021</v>
      </c>
      <c r="M92" s="3">
        <v>312</v>
      </c>
      <c r="N92" s="3">
        <v>40.543599999999998</v>
      </c>
      <c r="O92" s="3">
        <v>15.0777</v>
      </c>
      <c r="P92" s="3">
        <v>55.622</v>
      </c>
      <c r="Q92" s="3">
        <v>55.545000000000002</v>
      </c>
      <c r="R92">
        <v>55.037100000000002</v>
      </c>
      <c r="S92">
        <f t="shared" si="13"/>
        <v>14.493500000000004</v>
      </c>
      <c r="T92">
        <f t="shared" si="14"/>
        <v>3.8745962580499387</v>
      </c>
      <c r="U92">
        <f t="shared" si="15"/>
        <v>0.91983850321997551</v>
      </c>
      <c r="V92">
        <f>L92*(U92/100)</f>
        <v>1.2830634193082811E-2</v>
      </c>
    </row>
    <row r="93" spans="1:30">
      <c r="A93">
        <v>92</v>
      </c>
      <c r="B93" t="s">
        <v>32</v>
      </c>
      <c r="C93">
        <v>1</v>
      </c>
      <c r="D93" s="5" t="s">
        <v>29</v>
      </c>
      <c r="E93">
        <v>15</v>
      </c>
      <c r="F93" s="5" t="s">
        <v>27</v>
      </c>
      <c r="G93">
        <v>0.99790000000000001</v>
      </c>
      <c r="H93">
        <v>67.429500000000004</v>
      </c>
      <c r="I93">
        <f>H93-G93</f>
        <v>66.431600000000003</v>
      </c>
      <c r="J93">
        <v>5</v>
      </c>
      <c r="K93">
        <f t="shared" si="12"/>
        <v>57.157143750000003</v>
      </c>
      <c r="L93">
        <f t="shared" si="11"/>
        <v>1.1622624162355908</v>
      </c>
      <c r="M93" s="4"/>
      <c r="N93" s="4"/>
      <c r="O93" s="4"/>
      <c r="P93" s="4"/>
      <c r="Q93" s="4"/>
      <c r="R93" s="4"/>
      <c r="W93">
        <v>12.3871</v>
      </c>
      <c r="X93">
        <v>81.171999999999997</v>
      </c>
      <c r="Y93">
        <v>14.188599999999999</v>
      </c>
      <c r="Z93">
        <v>11.276199999999999</v>
      </c>
      <c r="AA93">
        <v>11.851699999999999</v>
      </c>
      <c r="AB93">
        <v>3.5611000000000002</v>
      </c>
      <c r="AC93">
        <v>1.2705</v>
      </c>
      <c r="AD93">
        <v>3.423</v>
      </c>
    </row>
    <row r="94" spans="1:30" ht="15.75">
      <c r="A94">
        <v>93</v>
      </c>
      <c r="B94" t="s">
        <v>32</v>
      </c>
      <c r="C94">
        <v>1</v>
      </c>
      <c r="D94" s="5" t="s">
        <v>30</v>
      </c>
      <c r="E94">
        <v>15</v>
      </c>
      <c r="F94" s="5" t="s">
        <v>24</v>
      </c>
      <c r="G94">
        <v>2.5615999999999999</v>
      </c>
      <c r="H94">
        <v>84.776700000000005</v>
      </c>
      <c r="I94">
        <f>H94-G94</f>
        <v>82.215100000000007</v>
      </c>
      <c r="J94">
        <v>5</v>
      </c>
      <c r="K94">
        <f t="shared" si="12"/>
        <v>57.157143750000003</v>
      </c>
      <c r="L94">
        <f t="shared" si="11"/>
        <v>1.4384046263683357</v>
      </c>
      <c r="M94" s="3">
        <v>8</v>
      </c>
      <c r="N94" s="3">
        <v>39.234110000000001</v>
      </c>
      <c r="O94" s="3">
        <v>15.026199999999999</v>
      </c>
      <c r="P94" s="3">
        <v>54.266599999999997</v>
      </c>
      <c r="Q94" s="3">
        <v>54.188099999999999</v>
      </c>
      <c r="R94">
        <v>53.697400000000002</v>
      </c>
      <c r="S94">
        <f t="shared" si="13"/>
        <v>14.463290000000001</v>
      </c>
      <c r="T94">
        <f t="shared" si="14"/>
        <v>3.7461899881540162</v>
      </c>
      <c r="U94">
        <f t="shared" si="15"/>
        <v>0.86847599526160646</v>
      </c>
      <c r="V94">
        <f>L94*(U94/100)</f>
        <v>1.2492198894741395E-2</v>
      </c>
    </row>
    <row r="95" spans="1:30">
      <c r="A95">
        <v>94</v>
      </c>
      <c r="B95" t="s">
        <v>32</v>
      </c>
      <c r="C95">
        <v>1</v>
      </c>
      <c r="D95" s="5" t="s">
        <v>30</v>
      </c>
      <c r="E95">
        <v>15</v>
      </c>
      <c r="F95" s="5" t="s">
        <v>25</v>
      </c>
      <c r="G95">
        <v>2.5989</v>
      </c>
      <c r="H95">
        <v>82.235100000000003</v>
      </c>
      <c r="I95">
        <f>H95-G95</f>
        <v>79.636200000000002</v>
      </c>
      <c r="J95">
        <v>5</v>
      </c>
      <c r="K95">
        <f t="shared" si="12"/>
        <v>57.157143750000003</v>
      </c>
      <c r="L95">
        <f t="shared" si="11"/>
        <v>1.3932851569406841</v>
      </c>
      <c r="M95" s="4"/>
      <c r="N95" s="4"/>
      <c r="O95" s="4"/>
      <c r="P95" s="4"/>
      <c r="Q95" s="4"/>
      <c r="R95" s="4"/>
      <c r="W95">
        <v>7.7942</v>
      </c>
      <c r="X95">
        <v>6.4005000000000001</v>
      </c>
      <c r="Y95">
        <v>23.457999999999998</v>
      </c>
      <c r="Z95">
        <v>20.373699999999999</v>
      </c>
      <c r="AA95">
        <v>11.884600000000001</v>
      </c>
      <c r="AB95">
        <v>2.5354999999999999</v>
      </c>
      <c r="AC95">
        <v>0.82289999999999996</v>
      </c>
      <c r="AD95">
        <v>2.5163000000000002</v>
      </c>
    </row>
    <row r="96" spans="1:30" ht="15.75">
      <c r="A96">
        <v>95</v>
      </c>
      <c r="B96" t="s">
        <v>32</v>
      </c>
      <c r="C96">
        <v>1</v>
      </c>
      <c r="D96" s="5" t="s">
        <v>30</v>
      </c>
      <c r="E96">
        <v>15</v>
      </c>
      <c r="F96" s="5" t="s">
        <v>26</v>
      </c>
      <c r="G96">
        <v>2.6049000000000002</v>
      </c>
      <c r="H96">
        <v>74.882499999999993</v>
      </c>
      <c r="I96">
        <f>H96-G96</f>
        <v>72.277599999999993</v>
      </c>
      <c r="J96">
        <v>5</v>
      </c>
      <c r="K96">
        <f t="shared" si="12"/>
        <v>57.157143750000003</v>
      </c>
      <c r="L96">
        <f t="shared" si="11"/>
        <v>1.2645418447803385</v>
      </c>
      <c r="M96" s="3">
        <v>175</v>
      </c>
      <c r="N96" s="3">
        <v>40.458500000000001</v>
      </c>
      <c r="O96" s="3">
        <v>15.0076</v>
      </c>
      <c r="P96" s="3">
        <v>55.466799999999999</v>
      </c>
      <c r="Q96" s="3">
        <v>55.391399999999997</v>
      </c>
      <c r="R96">
        <v>54.866199999999999</v>
      </c>
      <c r="S96">
        <f t="shared" si="13"/>
        <v>14.407699999999998</v>
      </c>
      <c r="T96">
        <v>3.7461899881540162</v>
      </c>
      <c r="U96">
        <v>0.86847599526160646</v>
      </c>
      <c r="V96">
        <v>1.2492198894741395E-2</v>
      </c>
    </row>
    <row r="97" spans="1:30">
      <c r="A97">
        <v>96</v>
      </c>
      <c r="B97" t="s">
        <v>32</v>
      </c>
      <c r="C97">
        <v>1</v>
      </c>
      <c r="D97" s="5" t="s">
        <v>30</v>
      </c>
      <c r="E97">
        <v>15</v>
      </c>
      <c r="F97" s="5" t="s">
        <v>27</v>
      </c>
      <c r="G97">
        <v>2.6322999999999999</v>
      </c>
      <c r="H97">
        <v>82.258200000000002</v>
      </c>
      <c r="I97">
        <f>H97-G97</f>
        <v>79.625900000000001</v>
      </c>
      <c r="J97">
        <v>5</v>
      </c>
      <c r="K97">
        <f t="shared" si="12"/>
        <v>57.157143750000003</v>
      </c>
      <c r="L97">
        <f t="shared" si="11"/>
        <v>1.3931049519947365</v>
      </c>
      <c r="M97" s="4"/>
      <c r="N97" s="4"/>
      <c r="O97" s="4"/>
      <c r="P97" s="4"/>
      <c r="Q97" s="4"/>
      <c r="R97" s="4"/>
      <c r="W97">
        <v>0.69530000000000003</v>
      </c>
      <c r="X97">
        <v>3.3641999999999999</v>
      </c>
      <c r="Y97">
        <v>23.796099999999999</v>
      </c>
      <c r="Z97">
        <v>20.4085</v>
      </c>
      <c r="AA97">
        <v>17.571999999999999</v>
      </c>
      <c r="AB97">
        <v>5.0262000000000002</v>
      </c>
      <c r="AC97">
        <v>1.8954</v>
      </c>
      <c r="AD97">
        <v>5.8289</v>
      </c>
    </row>
    <row r="98" spans="1:30">
      <c r="A98">
        <v>97</v>
      </c>
      <c r="B98" s="5" t="s">
        <v>33</v>
      </c>
      <c r="C98" s="5">
        <v>1</v>
      </c>
      <c r="D98" s="5" t="s">
        <v>23</v>
      </c>
      <c r="E98" s="5">
        <v>13</v>
      </c>
      <c r="F98" s="5" t="s">
        <v>24</v>
      </c>
      <c r="G98">
        <v>1.2584</v>
      </c>
      <c r="H98">
        <v>78.052300000000002</v>
      </c>
      <c r="I98">
        <f>H98-G98</f>
        <v>76.793900000000008</v>
      </c>
      <c r="J98">
        <v>5</v>
      </c>
      <c r="K98">
        <f t="shared" si="12"/>
        <v>57.157143750000003</v>
      </c>
      <c r="L98">
        <f t="shared" ref="L98:L129" si="16">I98/K98</f>
        <v>1.3435573396719986</v>
      </c>
      <c r="M98">
        <v>13</v>
      </c>
      <c r="N98">
        <v>41.376399999999997</v>
      </c>
      <c r="O98">
        <v>15.870699999999999</v>
      </c>
      <c r="P98">
        <f>O98+N98</f>
        <v>57.247099999999996</v>
      </c>
      <c r="Q98">
        <v>57.2104</v>
      </c>
      <c r="R98">
        <v>56.878399999999999</v>
      </c>
      <c r="S98">
        <f t="shared" ref="S98" si="17">R98-N98</f>
        <v>15.502000000000002</v>
      </c>
      <c r="T98">
        <f t="shared" ref="T98" si="18">((O98-S98)/O98)*100</f>
        <v>2.3231489474314109</v>
      </c>
      <c r="U98">
        <f t="shared" si="15"/>
        <v>0.29925957897256439</v>
      </c>
      <c r="V98">
        <f>L98*(U98/100)</f>
        <v>4.0207240379574105E-3</v>
      </c>
    </row>
    <row r="99" spans="1:30">
      <c r="A99">
        <v>98</v>
      </c>
      <c r="B99" s="5" t="s">
        <v>33</v>
      </c>
      <c r="C99" s="5">
        <v>1</v>
      </c>
      <c r="D99" s="5" t="s">
        <v>23</v>
      </c>
      <c r="E99" s="5">
        <v>13</v>
      </c>
      <c r="F99" s="5" t="s">
        <v>25</v>
      </c>
      <c r="G99">
        <v>1.2625999999999999</v>
      </c>
      <c r="H99">
        <v>73.399199999999993</v>
      </c>
      <c r="I99">
        <f>H99-G99</f>
        <v>72.136599999999987</v>
      </c>
      <c r="J99">
        <v>5</v>
      </c>
      <c r="K99">
        <f t="shared" si="12"/>
        <v>57.157143750000003</v>
      </c>
      <c r="L99">
        <f t="shared" si="16"/>
        <v>1.2620749615396936</v>
      </c>
      <c r="M99" s="4"/>
      <c r="N99" s="4"/>
      <c r="O99" s="4"/>
      <c r="P99" s="4"/>
      <c r="Q99" s="4"/>
      <c r="R99" s="4"/>
      <c r="W99">
        <v>0</v>
      </c>
      <c r="X99">
        <v>0.14940000000000001</v>
      </c>
      <c r="Y99">
        <v>13.7262</v>
      </c>
      <c r="Z99">
        <v>30.234000000000002</v>
      </c>
      <c r="AA99">
        <v>22.288799999999998</v>
      </c>
      <c r="AB99">
        <v>3.4820000000000002</v>
      </c>
      <c r="AC99">
        <v>0.26600000000000001</v>
      </c>
      <c r="AD99">
        <v>0.33069999999999999</v>
      </c>
    </row>
    <row r="100" spans="1:30">
      <c r="A100">
        <v>99</v>
      </c>
      <c r="B100" s="5" t="s">
        <v>33</v>
      </c>
      <c r="C100" s="5">
        <v>1</v>
      </c>
      <c r="D100" s="5" t="s">
        <v>23</v>
      </c>
      <c r="E100" s="5">
        <v>13</v>
      </c>
      <c r="F100" s="5" t="s">
        <v>26</v>
      </c>
      <c r="G100">
        <v>1.2704</v>
      </c>
      <c r="H100">
        <v>71.395799999999994</v>
      </c>
      <c r="I100">
        <f>H100-G100</f>
        <v>70.125399999999999</v>
      </c>
      <c r="J100">
        <v>5</v>
      </c>
      <c r="K100">
        <f t="shared" si="12"/>
        <v>57.157143750000003</v>
      </c>
      <c r="L100">
        <f t="shared" si="16"/>
        <v>1.2268877588901561</v>
      </c>
      <c r="M100">
        <v>310</v>
      </c>
      <c r="N100">
        <v>42.597799999999999</v>
      </c>
      <c r="O100">
        <v>15.3466</v>
      </c>
      <c r="P100">
        <f>O100+N100</f>
        <v>57.944400000000002</v>
      </c>
      <c r="Q100">
        <v>57.906999999999996</v>
      </c>
      <c r="R100">
        <v>57.597299999999997</v>
      </c>
      <c r="S100">
        <f t="shared" ref="S100" si="19">R100-N100</f>
        <v>14.999499999999998</v>
      </c>
      <c r="T100">
        <f t="shared" ref="T100" si="20">((O100-S100)/O100)*100</f>
        <v>2.2617387564672491</v>
      </c>
      <c r="U100">
        <f t="shared" si="15"/>
        <v>0.27469550258689968</v>
      </c>
      <c r="V100">
        <f>L100*(U100/100)</f>
        <v>3.3702054954604641E-3</v>
      </c>
    </row>
    <row r="101" spans="1:30">
      <c r="A101">
        <v>100</v>
      </c>
      <c r="B101" s="5" t="s">
        <v>33</v>
      </c>
      <c r="C101" s="5">
        <v>1</v>
      </c>
      <c r="D101" s="5" t="s">
        <v>23</v>
      </c>
      <c r="E101" s="5">
        <v>13</v>
      </c>
      <c r="F101" s="5" t="s">
        <v>27</v>
      </c>
      <c r="G101">
        <v>1.2555000000000001</v>
      </c>
      <c r="H101">
        <v>80.451499999999996</v>
      </c>
      <c r="I101">
        <f>H101-G101</f>
        <v>79.195999999999998</v>
      </c>
      <c r="J101">
        <v>5</v>
      </c>
      <c r="K101">
        <f t="shared" si="12"/>
        <v>57.157143750000003</v>
      </c>
      <c r="L101">
        <f t="shared" si="16"/>
        <v>1.3855835824546427</v>
      </c>
      <c r="M101" s="4"/>
      <c r="N101" s="4"/>
      <c r="O101" s="4"/>
      <c r="P101" s="4"/>
      <c r="Q101" s="4"/>
      <c r="R101" s="4"/>
      <c r="W101">
        <v>0</v>
      </c>
      <c r="X101">
        <v>1.5541</v>
      </c>
      <c r="Y101" s="7">
        <v>21.866399999999999</v>
      </c>
      <c r="Z101">
        <v>29.737400000000001</v>
      </c>
      <c r="AA101">
        <v>20.102599999999999</v>
      </c>
      <c r="AB101">
        <v>4.5545</v>
      </c>
      <c r="AC101">
        <v>0.48110000000000003</v>
      </c>
      <c r="AD101">
        <v>0.80659999999999998</v>
      </c>
    </row>
    <row r="102" spans="1:30">
      <c r="A102">
        <v>101</v>
      </c>
      <c r="B102" s="5" t="s">
        <v>33</v>
      </c>
      <c r="C102" s="5">
        <v>1</v>
      </c>
      <c r="D102" s="5" t="s">
        <v>28</v>
      </c>
      <c r="E102" s="5">
        <v>13</v>
      </c>
      <c r="F102" s="5" t="s">
        <v>24</v>
      </c>
      <c r="G102">
        <v>1.2926</v>
      </c>
      <c r="H102">
        <v>83.759799999999998</v>
      </c>
      <c r="I102">
        <f>H102-G102</f>
        <v>82.467200000000005</v>
      </c>
      <c r="J102">
        <v>5</v>
      </c>
      <c r="K102">
        <f t="shared" si="12"/>
        <v>57.157143750000003</v>
      </c>
      <c r="L102">
        <f t="shared" si="16"/>
        <v>1.4428152736376019</v>
      </c>
      <c r="M102">
        <v>175</v>
      </c>
      <c r="N102">
        <v>40.463500000000003</v>
      </c>
      <c r="O102">
        <v>15.497</v>
      </c>
      <c r="P102">
        <f>O102+N102</f>
        <v>55.960500000000003</v>
      </c>
      <c r="Q102">
        <v>55.916600000000003</v>
      </c>
      <c r="R102">
        <v>55.605600000000003</v>
      </c>
      <c r="S102">
        <f t="shared" ref="S102" si="21">R102-N102</f>
        <v>15.142099999999999</v>
      </c>
      <c r="T102">
        <f t="shared" ref="T102" si="22">((O102-S102)/O102)*100</f>
        <v>2.2901206685164914</v>
      </c>
      <c r="U102">
        <f t="shared" si="15"/>
        <v>0.28604826740659661</v>
      </c>
      <c r="V102">
        <f>L102*(U102/100)</f>
        <v>4.1271480921181054E-3</v>
      </c>
    </row>
    <row r="103" spans="1:30">
      <c r="A103">
        <v>102</v>
      </c>
      <c r="B103" s="5" t="s">
        <v>33</v>
      </c>
      <c r="C103" s="5">
        <v>1</v>
      </c>
      <c r="D103" s="5" t="s">
        <v>28</v>
      </c>
      <c r="E103" s="5">
        <v>13</v>
      </c>
      <c r="F103" s="5" t="s">
        <v>25</v>
      </c>
      <c r="G103">
        <v>1.2629999999999999</v>
      </c>
      <c r="H103">
        <v>90.403999999999996</v>
      </c>
      <c r="I103">
        <f>H103-G103</f>
        <v>89.140999999999991</v>
      </c>
      <c r="J103">
        <v>5</v>
      </c>
      <c r="K103">
        <f t="shared" si="12"/>
        <v>57.157143750000003</v>
      </c>
      <c r="L103">
        <f t="shared" si="16"/>
        <v>1.5595775812362911</v>
      </c>
      <c r="M103" s="4"/>
      <c r="N103" s="4"/>
      <c r="O103" s="4"/>
      <c r="P103" s="4"/>
      <c r="Q103" s="4"/>
      <c r="R103" s="4"/>
      <c r="W103">
        <v>0</v>
      </c>
      <c r="X103">
        <v>0.21510000000000001</v>
      </c>
      <c r="Y103">
        <v>11.6934</v>
      </c>
      <c r="Z103">
        <v>34.087400000000002</v>
      </c>
      <c r="AA103">
        <v>34.177300000000002</v>
      </c>
      <c r="AB103">
        <v>7.6635999999999997</v>
      </c>
      <c r="AC103">
        <v>0.43180000000000002</v>
      </c>
      <c r="AD103">
        <v>0.35210000000000002</v>
      </c>
    </row>
    <row r="104" spans="1:30">
      <c r="A104">
        <v>103</v>
      </c>
      <c r="B104" s="5" t="s">
        <v>33</v>
      </c>
      <c r="C104" s="5">
        <v>1</v>
      </c>
      <c r="D104" s="5" t="s">
        <v>28</v>
      </c>
      <c r="E104" s="5">
        <v>13</v>
      </c>
      <c r="F104" s="5" t="s">
        <v>26</v>
      </c>
      <c r="G104">
        <v>1.2803</v>
      </c>
      <c r="H104">
        <v>83.313800000000001</v>
      </c>
      <c r="I104">
        <f>H104-G104</f>
        <v>82.033500000000004</v>
      </c>
      <c r="J104">
        <v>5</v>
      </c>
      <c r="K104">
        <f t="shared" si="12"/>
        <v>57.157143750000003</v>
      </c>
      <c r="L104">
        <f t="shared" si="16"/>
        <v>1.4352274207193918</v>
      </c>
      <c r="M104">
        <v>155</v>
      </c>
      <c r="N104">
        <v>42.4084</v>
      </c>
      <c r="O104">
        <v>15.073700000000001</v>
      </c>
      <c r="P104">
        <f>O104+N104</f>
        <v>57.482100000000003</v>
      </c>
      <c r="Q104">
        <v>57.443899999999999</v>
      </c>
      <c r="R104">
        <v>57.149099999999997</v>
      </c>
      <c r="S104">
        <f t="shared" ref="S104" si="23">R104-N104</f>
        <v>14.740699999999997</v>
      </c>
      <c r="T104">
        <f t="shared" ref="T104" si="24">((O104-S104)/O104)*100</f>
        <v>2.2091457306434634</v>
      </c>
      <c r="U104">
        <f t="shared" si="15"/>
        <v>0.25365829225738545</v>
      </c>
      <c r="V104">
        <f>L104*(U104/100)</f>
        <v>3.6405733654065299E-3</v>
      </c>
    </row>
    <row r="105" spans="1:30">
      <c r="A105">
        <v>104</v>
      </c>
      <c r="B105" s="5" t="s">
        <v>33</v>
      </c>
      <c r="C105" s="5">
        <v>1</v>
      </c>
      <c r="D105" s="5" t="s">
        <v>28</v>
      </c>
      <c r="E105" s="5">
        <v>13</v>
      </c>
      <c r="F105" s="5" t="s">
        <v>27</v>
      </c>
      <c r="G105">
        <v>1.2830999999999999</v>
      </c>
      <c r="H105">
        <v>85.1541</v>
      </c>
      <c r="I105">
        <f>H105-G105</f>
        <v>83.870999999999995</v>
      </c>
      <c r="J105">
        <v>5</v>
      </c>
      <c r="K105">
        <f t="shared" si="12"/>
        <v>57.157143750000003</v>
      </c>
      <c r="L105">
        <f t="shared" si="16"/>
        <v>1.4673756331639647</v>
      </c>
      <c r="M105" s="4"/>
      <c r="N105" s="4"/>
      <c r="O105" s="4"/>
      <c r="P105" s="4"/>
      <c r="Q105" s="4"/>
      <c r="R105" s="4"/>
      <c r="W105">
        <v>0</v>
      </c>
      <c r="X105">
        <v>3.2500000000000001E-2</v>
      </c>
      <c r="Y105">
        <v>7.3280000000000003</v>
      </c>
      <c r="Z105">
        <v>31.157399999999999</v>
      </c>
      <c r="AA105">
        <v>36.988</v>
      </c>
      <c r="AB105">
        <v>7.3047000000000004</v>
      </c>
      <c r="AC105">
        <v>0.41520000000000001</v>
      </c>
      <c r="AD105">
        <v>0.26569999999999999</v>
      </c>
    </row>
    <row r="106" spans="1:30">
      <c r="A106">
        <v>105</v>
      </c>
      <c r="B106" s="5" t="s">
        <v>33</v>
      </c>
      <c r="C106" s="5">
        <v>1</v>
      </c>
      <c r="D106" s="5" t="s">
        <v>23</v>
      </c>
      <c r="E106" s="5">
        <v>14</v>
      </c>
      <c r="F106" s="5" t="s">
        <v>24</v>
      </c>
      <c r="G106">
        <v>1.2657</v>
      </c>
      <c r="H106">
        <v>66.822999999999993</v>
      </c>
      <c r="I106">
        <f>H106-G106</f>
        <v>65.557299999999998</v>
      </c>
      <c r="J106">
        <v>5</v>
      </c>
      <c r="K106">
        <f t="shared" si="12"/>
        <v>57.157143750000003</v>
      </c>
      <c r="L106">
        <f>I106/K106</f>
        <v>1.146965990581011</v>
      </c>
      <c r="M106">
        <v>205</v>
      </c>
      <c r="N106">
        <v>39.578200000000002</v>
      </c>
      <c r="O106">
        <v>15.226900000000001</v>
      </c>
      <c r="P106">
        <f>O106+N106</f>
        <v>54.805100000000003</v>
      </c>
      <c r="Q106">
        <v>54.773499999999999</v>
      </c>
      <c r="R106">
        <v>54.435699999999997</v>
      </c>
      <c r="S106">
        <f t="shared" ref="S106" si="25">R106-N106</f>
        <v>14.857499999999995</v>
      </c>
      <c r="T106">
        <f t="shared" ref="T106" si="26">((O106-S106)/O106)*100</f>
        <v>2.4259698297093033</v>
      </c>
      <c r="U106">
        <f t="shared" si="15"/>
        <v>0.34038793188372141</v>
      </c>
      <c r="V106">
        <f>L106*(U106/100)</f>
        <v>3.9041338147483419E-3</v>
      </c>
    </row>
    <row r="107" spans="1:30">
      <c r="A107">
        <v>106</v>
      </c>
      <c r="B107" s="5" t="s">
        <v>33</v>
      </c>
      <c r="C107" s="5">
        <v>1</v>
      </c>
      <c r="D107" s="5" t="s">
        <v>23</v>
      </c>
      <c r="E107" s="5">
        <v>14</v>
      </c>
      <c r="F107" s="5" t="s">
        <v>25</v>
      </c>
      <c r="G107">
        <v>1.2706999999999999</v>
      </c>
      <c r="H107">
        <v>69.9435</v>
      </c>
      <c r="I107">
        <f>H107-G107</f>
        <v>68.672799999999995</v>
      </c>
      <c r="J107">
        <v>5</v>
      </c>
      <c r="K107">
        <f t="shared" si="12"/>
        <v>57.157143750000003</v>
      </c>
      <c r="L107">
        <f t="shared" si="16"/>
        <v>1.2014736128237686</v>
      </c>
      <c r="M107" s="4"/>
      <c r="N107" s="4"/>
      <c r="O107" s="4"/>
      <c r="P107" s="4"/>
      <c r="Q107" s="4"/>
      <c r="R107" s="4"/>
      <c r="W107">
        <v>1.4266000000000001</v>
      </c>
      <c r="X107">
        <v>3.7240000000000002</v>
      </c>
      <c r="Y107">
        <v>20.482399999999998</v>
      </c>
      <c r="Z107">
        <v>23.229500000000002</v>
      </c>
      <c r="AA107">
        <v>15.955500000000001</v>
      </c>
      <c r="AB107">
        <v>2.8372999999999999</v>
      </c>
      <c r="AC107">
        <v>0.29499999999999998</v>
      </c>
      <c r="AD107">
        <v>0.49559999999999998</v>
      </c>
    </row>
    <row r="108" spans="1:30">
      <c r="A108">
        <v>107</v>
      </c>
      <c r="B108" s="5" t="s">
        <v>33</v>
      </c>
      <c r="C108" s="5">
        <v>1</v>
      </c>
      <c r="D108" s="5" t="s">
        <v>23</v>
      </c>
      <c r="E108" s="5">
        <v>14</v>
      </c>
      <c r="F108" s="5" t="s">
        <v>26</v>
      </c>
      <c r="G108">
        <v>1.266</v>
      </c>
      <c r="H108">
        <v>70.528599999999997</v>
      </c>
      <c r="I108">
        <f>H108-G108</f>
        <v>69.262599999999992</v>
      </c>
      <c r="J108">
        <v>5</v>
      </c>
      <c r="K108">
        <f t="shared" si="12"/>
        <v>57.157143750000003</v>
      </c>
      <c r="L108">
        <f t="shared" si="16"/>
        <v>1.2117925329325083</v>
      </c>
      <c r="M108">
        <v>304</v>
      </c>
      <c r="N108">
        <v>40.889099999999999</v>
      </c>
      <c r="O108">
        <v>15.260300000000001</v>
      </c>
      <c r="P108">
        <f>O108+N108</f>
        <v>56.1494</v>
      </c>
      <c r="Q108">
        <v>56.118699999999997</v>
      </c>
      <c r="R108">
        <v>55.813400000000001</v>
      </c>
      <c r="S108">
        <f t="shared" ref="S108" si="27">R108-N108</f>
        <v>14.924300000000002</v>
      </c>
      <c r="T108">
        <f t="shared" ref="T108" si="28">((O108-S108)/O108)*100</f>
        <v>2.2017915768366185</v>
      </c>
      <c r="U108">
        <f t="shared" si="15"/>
        <v>0.25071663073464745</v>
      </c>
      <c r="V108">
        <f>L108*(U108/100)</f>
        <v>3.0381654100624282E-3</v>
      </c>
    </row>
    <row r="109" spans="1:30">
      <c r="A109">
        <v>108</v>
      </c>
      <c r="B109" s="5" t="s">
        <v>33</v>
      </c>
      <c r="C109" s="5">
        <v>1</v>
      </c>
      <c r="D109" s="5" t="s">
        <v>23</v>
      </c>
      <c r="E109" s="5">
        <v>14</v>
      </c>
      <c r="F109" s="5" t="s">
        <v>27</v>
      </c>
      <c r="G109">
        <v>1.2635000000000001</v>
      </c>
      <c r="H109">
        <v>63.732799999999997</v>
      </c>
      <c r="I109">
        <f>H109-G109</f>
        <v>62.469299999999997</v>
      </c>
      <c r="J109">
        <v>5</v>
      </c>
      <c r="K109">
        <f t="shared" si="12"/>
        <v>57.157143750000003</v>
      </c>
      <c r="L109">
        <f t="shared" si="16"/>
        <v>1.0929394980483083</v>
      </c>
      <c r="M109" s="4"/>
      <c r="N109" s="4"/>
      <c r="O109" s="4"/>
      <c r="P109" s="4"/>
      <c r="Q109" s="4"/>
      <c r="R109" s="4"/>
      <c r="W109">
        <v>0</v>
      </c>
      <c r="X109">
        <v>2.1452</v>
      </c>
      <c r="Y109">
        <v>21.3535</v>
      </c>
      <c r="Z109">
        <v>23.317299999999999</v>
      </c>
      <c r="AA109">
        <v>12.3514</v>
      </c>
      <c r="AB109">
        <v>1.7961</v>
      </c>
      <c r="AC109">
        <v>0.1555</v>
      </c>
      <c r="AD109">
        <v>0.28610000000000002</v>
      </c>
    </row>
    <row r="110" spans="1:30">
      <c r="A110">
        <v>109</v>
      </c>
      <c r="B110" s="5" t="s">
        <v>33</v>
      </c>
      <c r="C110" s="5">
        <v>1</v>
      </c>
      <c r="D110" s="5" t="s">
        <v>28</v>
      </c>
      <c r="E110" s="5">
        <v>14</v>
      </c>
      <c r="F110" s="5" t="s">
        <v>24</v>
      </c>
      <c r="G110">
        <v>1.26</v>
      </c>
      <c r="H110">
        <v>76.463499999999996</v>
      </c>
      <c r="I110">
        <f>H110-G110</f>
        <v>75.203499999999991</v>
      </c>
      <c r="J110">
        <v>5</v>
      </c>
      <c r="K110">
        <f t="shared" si="12"/>
        <v>57.157143750000003</v>
      </c>
      <c r="L110">
        <f t="shared" si="16"/>
        <v>1.3157322963675908</v>
      </c>
      <c r="M110">
        <v>165</v>
      </c>
      <c r="N110">
        <v>39.487299999999998</v>
      </c>
      <c r="O110">
        <v>15.2805</v>
      </c>
      <c r="P110">
        <f>O110+N110</f>
        <v>54.767799999999994</v>
      </c>
      <c r="Q110">
        <v>54.738700000000001</v>
      </c>
      <c r="R110">
        <v>54.406999999999996</v>
      </c>
      <c r="S110">
        <f t="shared" ref="S110" si="29">R110-N110</f>
        <v>14.919699999999999</v>
      </c>
      <c r="T110">
        <f t="shared" ref="T110" si="30">((O110-S110)/O110)*100</f>
        <v>2.3611792807827041</v>
      </c>
      <c r="U110">
        <f t="shared" si="15"/>
        <v>0.31447171231308169</v>
      </c>
      <c r="V110">
        <f>L110*(U110/100)</f>
        <v>4.1376058818433934E-3</v>
      </c>
    </row>
    <row r="111" spans="1:30">
      <c r="A111">
        <v>110</v>
      </c>
      <c r="B111" s="5" t="s">
        <v>33</v>
      </c>
      <c r="C111" s="5">
        <v>1</v>
      </c>
      <c r="D111" s="5" t="s">
        <v>28</v>
      </c>
      <c r="E111" s="5">
        <v>14</v>
      </c>
      <c r="F111" s="5" t="s">
        <v>25</v>
      </c>
      <c r="G111">
        <v>1.2682</v>
      </c>
      <c r="H111">
        <v>80.957099999999997</v>
      </c>
      <c r="I111">
        <f>H111-G111</f>
        <v>79.688900000000004</v>
      </c>
      <c r="J111">
        <v>5</v>
      </c>
      <c r="K111">
        <f t="shared" si="12"/>
        <v>57.157143750000003</v>
      </c>
      <c r="L111">
        <f t="shared" si="16"/>
        <v>1.3942071764214075</v>
      </c>
      <c r="M111" s="4"/>
      <c r="N111" s="4"/>
      <c r="O111" s="4"/>
      <c r="P111" s="4"/>
      <c r="Q111" s="4"/>
      <c r="R111" s="4"/>
      <c r="W111">
        <v>0</v>
      </c>
      <c r="X111">
        <v>0.1148</v>
      </c>
      <c r="Y111">
        <v>16.0185</v>
      </c>
      <c r="Z111">
        <v>35.7667</v>
      </c>
      <c r="AA111">
        <v>23.163799999999998</v>
      </c>
      <c r="AB111">
        <v>3.3871000000000002</v>
      </c>
      <c r="AC111">
        <v>0.2621</v>
      </c>
      <c r="AD111">
        <v>0.27179999999999999</v>
      </c>
    </row>
    <row r="112" spans="1:30">
      <c r="A112">
        <v>111</v>
      </c>
      <c r="B112" s="5" t="s">
        <v>33</v>
      </c>
      <c r="C112" s="5">
        <v>1</v>
      </c>
      <c r="D112" s="5" t="s">
        <v>28</v>
      </c>
      <c r="E112" s="5">
        <v>14</v>
      </c>
      <c r="F112" s="5" t="s">
        <v>26</v>
      </c>
      <c r="G112">
        <v>1.2596000000000001</v>
      </c>
      <c r="H112">
        <v>78.039199999999994</v>
      </c>
      <c r="I112">
        <f>H112-G112</f>
        <v>76.779599999999988</v>
      </c>
      <c r="J112">
        <v>5</v>
      </c>
      <c r="K112">
        <f t="shared" si="12"/>
        <v>57.157143750000003</v>
      </c>
      <c r="L112">
        <f t="shared" si="16"/>
        <v>1.3433071522227698</v>
      </c>
      <c r="M112">
        <v>312</v>
      </c>
      <c r="N112">
        <v>40.5501</v>
      </c>
      <c r="O112">
        <v>15.410299999999999</v>
      </c>
      <c r="P112">
        <f>O112+N112</f>
        <v>55.9604</v>
      </c>
      <c r="Q112">
        <v>55.928400000000003</v>
      </c>
      <c r="R112">
        <v>55.622700000000002</v>
      </c>
      <c r="S112">
        <f t="shared" ref="S112" si="31">R112-N112</f>
        <v>15.072600000000001</v>
      </c>
      <c r="T112">
        <f t="shared" ref="T112" si="32">((O112-S112)/O112)*100</f>
        <v>2.191391471937588</v>
      </c>
      <c r="U112">
        <f t="shared" si="15"/>
        <v>0.24655658877503528</v>
      </c>
      <c r="V112">
        <f>L112*(U112/100)</f>
        <v>3.3120122912915313E-3</v>
      </c>
    </row>
    <row r="113" spans="1:30">
      <c r="A113">
        <v>112</v>
      </c>
      <c r="B113" s="5" t="s">
        <v>33</v>
      </c>
      <c r="C113" s="5">
        <v>1</v>
      </c>
      <c r="D113" s="5" t="s">
        <v>28</v>
      </c>
      <c r="E113" s="5">
        <v>14</v>
      </c>
      <c r="F113" s="5" t="s">
        <v>27</v>
      </c>
      <c r="G113">
        <v>1.256</v>
      </c>
      <c r="H113">
        <v>80.771299999999997</v>
      </c>
      <c r="I113">
        <f>H113-G113</f>
        <v>79.515299999999996</v>
      </c>
      <c r="J113">
        <v>5</v>
      </c>
      <c r="K113">
        <f t="shared" si="12"/>
        <v>57.157143750000003</v>
      </c>
      <c r="L113">
        <f t="shared" si="16"/>
        <v>1.3911699357790248</v>
      </c>
      <c r="M113" s="4"/>
      <c r="N113" s="4"/>
      <c r="O113" s="4"/>
      <c r="P113" s="4"/>
      <c r="Q113" s="4"/>
      <c r="R113" s="4"/>
      <c r="W113">
        <v>0</v>
      </c>
      <c r="X113">
        <v>0.70550000000000002</v>
      </c>
      <c r="Y113">
        <v>18.951699999999999</v>
      </c>
      <c r="Z113">
        <v>31.4695</v>
      </c>
      <c r="AA113">
        <v>21.635300000000001</v>
      </c>
      <c r="AB113">
        <v>4.87</v>
      </c>
      <c r="AC113">
        <v>0.5615</v>
      </c>
      <c r="AD113">
        <v>0.90159999999999996</v>
      </c>
    </row>
    <row r="114" spans="1:30">
      <c r="A114">
        <v>113</v>
      </c>
      <c r="B114" s="5" t="s">
        <v>33</v>
      </c>
      <c r="C114" s="5">
        <v>1</v>
      </c>
      <c r="D114" s="5" t="s">
        <v>23</v>
      </c>
      <c r="E114" s="5">
        <v>15</v>
      </c>
      <c r="F114" s="5" t="s">
        <v>24</v>
      </c>
      <c r="G114">
        <v>1.2753000000000001</v>
      </c>
      <c r="H114">
        <v>76.168400000000005</v>
      </c>
      <c r="I114">
        <f>H114-G114</f>
        <v>74.893100000000004</v>
      </c>
      <c r="J114">
        <v>5</v>
      </c>
      <c r="K114">
        <f t="shared" si="12"/>
        <v>57.157143750000003</v>
      </c>
      <c r="L114">
        <f t="shared" si="16"/>
        <v>1.3103016541130084</v>
      </c>
      <c r="M114">
        <v>18</v>
      </c>
      <c r="N114">
        <v>40.368499999999997</v>
      </c>
      <c r="O114">
        <v>15.181100000000001</v>
      </c>
      <c r="P114">
        <f>O114+N114</f>
        <v>55.549599999999998</v>
      </c>
      <c r="Q114">
        <v>55.512599999999999</v>
      </c>
      <c r="R114">
        <v>55.1922</v>
      </c>
      <c r="S114">
        <f t="shared" ref="S114" si="33">R114-N114</f>
        <v>14.823700000000002</v>
      </c>
      <c r="T114">
        <f t="shared" ref="T114" si="34">((O114-S114)/O114)*100</f>
        <v>2.3542431049133357</v>
      </c>
      <c r="U114">
        <f t="shared" si="15"/>
        <v>0.31169724196533433</v>
      </c>
      <c r="V114">
        <f>L114*(U114/100)</f>
        <v>4.0841741172964021E-3</v>
      </c>
    </row>
    <row r="115" spans="1:30">
      <c r="A115">
        <v>114</v>
      </c>
      <c r="B115" s="5" t="s">
        <v>33</v>
      </c>
      <c r="C115" s="5">
        <v>1</v>
      </c>
      <c r="D115" s="5" t="s">
        <v>23</v>
      </c>
      <c r="E115" s="5">
        <v>15</v>
      </c>
      <c r="F115" s="5" t="s">
        <v>25</v>
      </c>
      <c r="G115">
        <v>1.2690999999999999</v>
      </c>
      <c r="H115">
        <v>76.629199999999997</v>
      </c>
      <c r="I115">
        <f>H115-G115</f>
        <v>75.360100000000003</v>
      </c>
      <c r="J115">
        <v>5</v>
      </c>
      <c r="K115">
        <f t="shared" si="12"/>
        <v>57.157143750000003</v>
      </c>
      <c r="L115">
        <f t="shared" si="16"/>
        <v>1.3184721113710305</v>
      </c>
      <c r="M115" s="4"/>
      <c r="N115" s="4"/>
      <c r="O115" s="4"/>
      <c r="P115" s="4"/>
      <c r="Q115" s="4"/>
      <c r="R115" s="4"/>
      <c r="W115">
        <v>0</v>
      </c>
      <c r="X115">
        <f>7.0601-6.9714</f>
        <v>8.8700000000000223E-2</v>
      </c>
      <c r="Y115">
        <f>20.9907-6.9714</f>
        <v>14.019300000000001</v>
      </c>
      <c r="Z115">
        <f>38.2851-6.9714</f>
        <v>31.313700000000001</v>
      </c>
      <c r="AA115">
        <f>31.8324-6.9714</f>
        <v>24.861000000000001</v>
      </c>
      <c r="AB115">
        <f>10.8435-6.9714</f>
        <v>3.8721000000000005</v>
      </c>
      <c r="AC115">
        <f>7.2753-6.9714</f>
        <v>0.30389999999999961</v>
      </c>
      <c r="AD115">
        <f>7.3273-6.9714</f>
        <v>0.35590000000000011</v>
      </c>
    </row>
    <row r="116" spans="1:30">
      <c r="A116">
        <v>115</v>
      </c>
      <c r="B116" s="5" t="s">
        <v>33</v>
      </c>
      <c r="C116" s="5">
        <v>1</v>
      </c>
      <c r="D116" s="5" t="s">
        <v>23</v>
      </c>
      <c r="E116" s="5">
        <v>15</v>
      </c>
      <c r="F116" s="5" t="s">
        <v>26</v>
      </c>
      <c r="G116">
        <v>1.27</v>
      </c>
      <c r="H116">
        <v>69.218699999999998</v>
      </c>
      <c r="I116">
        <f>H116-G116</f>
        <v>67.948700000000002</v>
      </c>
      <c r="J116">
        <v>5</v>
      </c>
      <c r="K116">
        <f t="shared" si="12"/>
        <v>57.157143750000003</v>
      </c>
      <c r="L116">
        <f t="shared" si="16"/>
        <v>1.1888050301673796</v>
      </c>
      <c r="M116">
        <v>102</v>
      </c>
      <c r="N116">
        <v>38.781199999999998</v>
      </c>
      <c r="O116">
        <v>15.271800000000001</v>
      </c>
      <c r="P116">
        <f>O116+N116</f>
        <v>54.052999999999997</v>
      </c>
      <c r="Q116">
        <v>54.013800000000003</v>
      </c>
      <c r="R116">
        <v>53.688099999999999</v>
      </c>
      <c r="S116">
        <f t="shared" ref="S116" si="35">R116-N116</f>
        <v>14.9069</v>
      </c>
      <c r="T116">
        <f t="shared" ref="T116" si="36">((O116-S116)/O116)*100</f>
        <v>2.3893712594455168</v>
      </c>
      <c r="U116">
        <f t="shared" si="15"/>
        <v>0.32574850377820674</v>
      </c>
      <c r="V116">
        <f>L116*(U116/100)</f>
        <v>3.8725145986102986E-3</v>
      </c>
    </row>
    <row r="117" spans="1:30">
      <c r="A117">
        <v>116</v>
      </c>
      <c r="B117" s="5" t="s">
        <v>33</v>
      </c>
      <c r="C117" s="5">
        <v>1</v>
      </c>
      <c r="D117" s="5" t="s">
        <v>23</v>
      </c>
      <c r="E117" s="5">
        <v>15</v>
      </c>
      <c r="F117" s="5" t="s">
        <v>27</v>
      </c>
      <c r="G117">
        <v>1.2572000000000001</v>
      </c>
      <c r="H117">
        <v>74.202100000000002</v>
      </c>
      <c r="I117">
        <f>H117-G117</f>
        <v>72.944900000000004</v>
      </c>
      <c r="J117">
        <v>5</v>
      </c>
      <c r="K117">
        <f t="shared" si="12"/>
        <v>57.157143750000003</v>
      </c>
      <c r="L117">
        <f t="shared" si="16"/>
        <v>1.2762166758901419</v>
      </c>
      <c r="M117" s="4"/>
      <c r="N117" s="4"/>
      <c r="O117" s="4"/>
      <c r="P117" s="4"/>
      <c r="Q117" s="4"/>
      <c r="R117" s="4"/>
      <c r="W117">
        <v>0</v>
      </c>
      <c r="X117">
        <f>7.3292-6.9714</f>
        <v>0.35780000000000012</v>
      </c>
      <c r="Y117">
        <f>21.4652-6.9714</f>
        <v>14.4938</v>
      </c>
      <c r="Z117">
        <f>35.609-6.9714</f>
        <v>28.637600000000003</v>
      </c>
      <c r="AA117">
        <f>30.9458-6.9714</f>
        <v>23.974399999999999</v>
      </c>
      <c r="AB117">
        <f>11.715-6.9714</f>
        <v>4.7435999999999998</v>
      </c>
      <c r="AC117">
        <f>7.3455-6.9714</f>
        <v>0.37410000000000032</v>
      </c>
      <c r="AD117">
        <f>7.1437-6.9714</f>
        <v>0.1722999999999999</v>
      </c>
    </row>
    <row r="118" spans="1:30">
      <c r="A118">
        <v>117</v>
      </c>
      <c r="B118" s="5" t="s">
        <v>33</v>
      </c>
      <c r="C118" s="5">
        <v>1</v>
      </c>
      <c r="D118" s="5" t="s">
        <v>28</v>
      </c>
      <c r="E118" s="5">
        <v>15</v>
      </c>
      <c r="F118" s="5" t="s">
        <v>24</v>
      </c>
      <c r="G118">
        <v>1.2601</v>
      </c>
      <c r="H118">
        <v>84.191400000000002</v>
      </c>
      <c r="I118">
        <f>H118-G118</f>
        <v>82.931300000000007</v>
      </c>
      <c r="J118">
        <v>5</v>
      </c>
      <c r="K118">
        <f t="shared" si="12"/>
        <v>57.157143750000003</v>
      </c>
      <c r="L118">
        <f t="shared" si="16"/>
        <v>1.4509349935807456</v>
      </c>
      <c r="M118">
        <v>150</v>
      </c>
      <c r="N118">
        <v>38.8277</v>
      </c>
      <c r="O118">
        <v>15.377599999999999</v>
      </c>
      <c r="P118">
        <f>O118+N118</f>
        <v>54.205300000000001</v>
      </c>
      <c r="Q118">
        <v>54.177599999999998</v>
      </c>
      <c r="R118">
        <v>53.871000000000002</v>
      </c>
      <c r="S118">
        <f t="shared" ref="S118" si="37">R118-N118</f>
        <v>15.043300000000002</v>
      </c>
      <c r="T118">
        <f t="shared" ref="T118" si="38">((O118-S118)/O118)*100</f>
        <v>2.1739413172406432</v>
      </c>
      <c r="U118">
        <f t="shared" si="15"/>
        <v>0.2395765268962573</v>
      </c>
      <c r="V118">
        <f>L118*(U118/100)</f>
        <v>3.4760996651431839E-3</v>
      </c>
    </row>
    <row r="119" spans="1:30">
      <c r="A119">
        <v>118</v>
      </c>
      <c r="B119" s="5" t="s">
        <v>33</v>
      </c>
      <c r="C119" s="5">
        <v>1</v>
      </c>
      <c r="D119" s="5" t="s">
        <v>28</v>
      </c>
      <c r="E119" s="5">
        <v>15</v>
      </c>
      <c r="F119" s="5" t="s">
        <v>25</v>
      </c>
      <c r="G119">
        <v>1.2672000000000001</v>
      </c>
      <c r="H119">
        <v>84.974100000000007</v>
      </c>
      <c r="I119">
        <f>H119-G119</f>
        <v>83.706900000000005</v>
      </c>
      <c r="J119">
        <v>5</v>
      </c>
      <c r="K119">
        <f t="shared" si="12"/>
        <v>57.157143750000003</v>
      </c>
      <c r="L119">
        <f t="shared" si="16"/>
        <v>1.4645046009668738</v>
      </c>
      <c r="M119" s="4"/>
      <c r="N119" s="4"/>
      <c r="O119" s="4"/>
      <c r="P119" s="4"/>
      <c r="Q119" s="4"/>
      <c r="R119" s="4"/>
      <c r="W119">
        <v>0</v>
      </c>
      <c r="X119">
        <v>0.31109999999999999</v>
      </c>
      <c r="Y119">
        <v>20.449200000000001</v>
      </c>
      <c r="Z119">
        <v>34.67</v>
      </c>
      <c r="AA119">
        <v>22.957000000000001</v>
      </c>
      <c r="AB119">
        <v>4.1554000000000002</v>
      </c>
      <c r="AC119">
        <v>0.4199</v>
      </c>
      <c r="AD119">
        <v>0.50749999999999995</v>
      </c>
    </row>
    <row r="120" spans="1:30">
      <c r="A120">
        <v>119</v>
      </c>
      <c r="B120" s="5" t="s">
        <v>33</v>
      </c>
      <c r="C120" s="5">
        <v>1</v>
      </c>
      <c r="D120" s="5" t="s">
        <v>28</v>
      </c>
      <c r="E120" s="5">
        <v>15</v>
      </c>
      <c r="F120" s="5" t="s">
        <v>26</v>
      </c>
      <c r="G120">
        <v>1.2676000000000001</v>
      </c>
      <c r="H120">
        <v>69.0154</v>
      </c>
      <c r="I120">
        <f>H120-G120</f>
        <v>67.747799999999998</v>
      </c>
      <c r="J120">
        <v>5</v>
      </c>
      <c r="K120">
        <f t="shared" si="12"/>
        <v>57.157143750000003</v>
      </c>
      <c r="L120">
        <f t="shared" si="16"/>
        <v>1.1852901589401061</v>
      </c>
      <c r="M120">
        <v>140</v>
      </c>
      <c r="N120">
        <v>38.646900000000002</v>
      </c>
      <c r="O120">
        <v>15.375</v>
      </c>
      <c r="P120">
        <f>O120+N120</f>
        <v>54.021900000000002</v>
      </c>
      <c r="Q120">
        <v>53.99</v>
      </c>
      <c r="R120">
        <v>53.704799999999999</v>
      </c>
      <c r="S120">
        <f t="shared" ref="S120" si="39">R120-N120</f>
        <v>15.057899999999997</v>
      </c>
      <c r="T120">
        <f t="shared" ref="T120" si="40">((O120-S120)/O120)*100</f>
        <v>2.0624390243902666</v>
      </c>
      <c r="U120">
        <f t="shared" si="15"/>
        <v>0.19497560975610673</v>
      </c>
      <c r="V120">
        <f>L120*(U120/100)</f>
        <v>2.3110267147725986E-3</v>
      </c>
    </row>
    <row r="121" spans="1:30">
      <c r="A121">
        <v>120</v>
      </c>
      <c r="B121" s="5" t="s">
        <v>33</v>
      </c>
      <c r="C121" s="5">
        <v>1</v>
      </c>
      <c r="D121" s="5" t="s">
        <v>28</v>
      </c>
      <c r="E121" s="5">
        <v>15</v>
      </c>
      <c r="F121" s="5" t="s">
        <v>27</v>
      </c>
      <c r="G121">
        <v>1.2584</v>
      </c>
      <c r="H121">
        <v>73.101399999999998</v>
      </c>
      <c r="I121">
        <f>H121-G121</f>
        <v>71.843000000000004</v>
      </c>
      <c r="J121">
        <v>5</v>
      </c>
      <c r="K121">
        <f t="shared" si="12"/>
        <v>57.157143750000003</v>
      </c>
      <c r="L121">
        <f t="shared" si="16"/>
        <v>1.2569382457988902</v>
      </c>
      <c r="M121" s="4"/>
      <c r="N121" s="4"/>
      <c r="O121" s="4"/>
      <c r="P121" s="4"/>
      <c r="Q121" s="4"/>
      <c r="R121" s="4"/>
      <c r="W121">
        <v>0</v>
      </c>
      <c r="X121">
        <v>0.99550000000000005</v>
      </c>
      <c r="Y121">
        <v>18.037400000000002</v>
      </c>
      <c r="Z121">
        <v>28.7422</v>
      </c>
      <c r="AA121">
        <v>19.6434</v>
      </c>
      <c r="AB121">
        <v>3.4150999999999998</v>
      </c>
      <c r="AC121">
        <v>0.26379999999999998</v>
      </c>
      <c r="AD121">
        <v>0.25069999999999998</v>
      </c>
    </row>
    <row r="122" spans="1:30">
      <c r="A122">
        <v>121</v>
      </c>
      <c r="B122" s="5" t="s">
        <v>33</v>
      </c>
      <c r="C122" s="5">
        <v>1</v>
      </c>
      <c r="D122" s="5" t="s">
        <v>29</v>
      </c>
      <c r="E122" s="5">
        <v>13</v>
      </c>
      <c r="F122" s="5" t="s">
        <v>24</v>
      </c>
      <c r="G122">
        <v>1.2558</v>
      </c>
      <c r="H122">
        <v>55.017499999999998</v>
      </c>
      <c r="I122">
        <f>H122-G122</f>
        <v>53.761699999999998</v>
      </c>
      <c r="J122">
        <v>5</v>
      </c>
      <c r="K122">
        <f t="shared" si="12"/>
        <v>57.157143750000003</v>
      </c>
      <c r="L122">
        <f t="shared" si="16"/>
        <v>0.94059458665654538</v>
      </c>
      <c r="M122">
        <v>8</v>
      </c>
      <c r="N122">
        <v>39.242699999999999</v>
      </c>
      <c r="O122">
        <v>15.1599</v>
      </c>
      <c r="P122">
        <f>O122+N122</f>
        <v>54.4026</v>
      </c>
      <c r="Q122">
        <v>54.367899999999999</v>
      </c>
      <c r="R122">
        <v>54.070399999999999</v>
      </c>
      <c r="S122">
        <f t="shared" ref="S122" si="41">R122-N122</f>
        <v>14.8277</v>
      </c>
      <c r="T122">
        <f t="shared" ref="T122" si="42">((O122-S122)/O122)*100</f>
        <v>2.1913073305232902</v>
      </c>
      <c r="U122">
        <f t="shared" si="15"/>
        <v>0.24652293220931609</v>
      </c>
      <c r="V122">
        <f>L122*(U122/100)</f>
        <v>2.3187813552278122E-3</v>
      </c>
    </row>
    <row r="123" spans="1:30">
      <c r="A123">
        <v>122</v>
      </c>
      <c r="B123" s="5" t="s">
        <v>33</v>
      </c>
      <c r="C123" s="5">
        <v>1</v>
      </c>
      <c r="D123" s="5" t="s">
        <v>29</v>
      </c>
      <c r="E123" s="5">
        <v>13</v>
      </c>
      <c r="F123" s="5" t="s">
        <v>25</v>
      </c>
      <c r="G123">
        <v>1.2697000000000001</v>
      </c>
      <c r="H123">
        <v>69.461200000000005</v>
      </c>
      <c r="I123">
        <f>H123-G123</f>
        <v>68.191500000000005</v>
      </c>
      <c r="J123">
        <v>5</v>
      </c>
      <c r="K123">
        <f t="shared" si="12"/>
        <v>57.157143750000003</v>
      </c>
      <c r="L123">
        <f t="shared" si="16"/>
        <v>1.1930529681165183</v>
      </c>
      <c r="M123" s="4"/>
      <c r="N123" s="4"/>
      <c r="O123" s="4"/>
      <c r="P123" s="4"/>
      <c r="Q123" s="4"/>
      <c r="R123" s="4"/>
      <c r="W123">
        <v>0</v>
      </c>
      <c r="X123">
        <v>0.47120000000000001</v>
      </c>
      <c r="Y123">
        <v>11.6493</v>
      </c>
      <c r="Z123">
        <v>29.091799999999999</v>
      </c>
      <c r="AA123">
        <v>21.673300000000001</v>
      </c>
      <c r="AB123">
        <v>3.8426</v>
      </c>
      <c r="AC123">
        <v>0.40129999999999999</v>
      </c>
      <c r="AD123">
        <v>0.60189999999999999</v>
      </c>
    </row>
    <row r="124" spans="1:30">
      <c r="A124">
        <v>123</v>
      </c>
      <c r="B124" s="5" t="s">
        <v>33</v>
      </c>
      <c r="C124" s="5">
        <v>1</v>
      </c>
      <c r="D124" s="5" t="s">
        <v>29</v>
      </c>
      <c r="E124" s="5">
        <v>13</v>
      </c>
      <c r="F124" s="5" t="s">
        <v>26</v>
      </c>
      <c r="G124">
        <v>1.2687999999999999</v>
      </c>
      <c r="H124">
        <v>70.610799999999998</v>
      </c>
      <c r="I124">
        <f>H124-G124</f>
        <v>69.341999999999999</v>
      </c>
      <c r="J124">
        <v>5</v>
      </c>
      <c r="K124">
        <f t="shared" si="12"/>
        <v>57.157143750000003</v>
      </c>
      <c r="L124">
        <f t="shared" si="16"/>
        <v>1.2131816856226305</v>
      </c>
      <c r="M124">
        <v>302</v>
      </c>
      <c r="N124">
        <v>38.886699999999998</v>
      </c>
      <c r="O124">
        <v>15.1311</v>
      </c>
      <c r="P124">
        <f>O124+N124</f>
        <v>54.017799999999994</v>
      </c>
      <c r="Q124">
        <v>53.9925</v>
      </c>
      <c r="R124">
        <v>53.715400000000002</v>
      </c>
      <c r="S124">
        <f t="shared" ref="S124" si="43">R124-N124</f>
        <v>14.828700000000005</v>
      </c>
      <c r="T124">
        <f t="shared" ref="T124" si="44">((O124-S124)/O124)*100</f>
        <v>1.9985328231258475</v>
      </c>
      <c r="U124">
        <f t="shared" si="15"/>
        <v>0.16941312925033902</v>
      </c>
      <c r="V124">
        <f>L124*(U124/100)</f>
        <v>2.0552890571053084E-3</v>
      </c>
    </row>
    <row r="125" spans="1:30">
      <c r="A125">
        <v>124</v>
      </c>
      <c r="B125" s="5" t="s">
        <v>33</v>
      </c>
      <c r="C125" s="5">
        <v>1</v>
      </c>
      <c r="D125" s="5" t="s">
        <v>29</v>
      </c>
      <c r="E125" s="5">
        <v>13</v>
      </c>
      <c r="F125" s="5" t="s">
        <v>27</v>
      </c>
      <c r="G125">
        <v>1.2665999999999999</v>
      </c>
      <c r="H125">
        <v>66.571899999999999</v>
      </c>
      <c r="I125">
        <f>H125-G125</f>
        <v>65.305300000000003</v>
      </c>
      <c r="J125">
        <v>5</v>
      </c>
      <c r="K125">
        <f t="shared" si="12"/>
        <v>57.157143750000003</v>
      </c>
      <c r="L125">
        <f t="shared" si="16"/>
        <v>1.1425570928743267</v>
      </c>
      <c r="M125" s="4"/>
      <c r="N125" s="4"/>
      <c r="O125" s="4"/>
      <c r="P125" s="4"/>
      <c r="Q125" s="4"/>
      <c r="R125" s="4"/>
      <c r="W125">
        <v>0</v>
      </c>
      <c r="X125">
        <v>0.79549999999999998</v>
      </c>
      <c r="Y125">
        <v>14.0061</v>
      </c>
      <c r="Z125">
        <v>31.111999999999998</v>
      </c>
      <c r="AA125">
        <v>16.857099999999999</v>
      </c>
      <c r="AB125">
        <v>1.9051</v>
      </c>
      <c r="AC125">
        <v>0.1331</v>
      </c>
      <c r="AD125">
        <v>0.15840000000000001</v>
      </c>
    </row>
    <row r="126" spans="1:30">
      <c r="A126">
        <v>125</v>
      </c>
      <c r="B126" s="5" t="s">
        <v>33</v>
      </c>
      <c r="C126" s="5">
        <v>1</v>
      </c>
      <c r="D126" s="5" t="s">
        <v>30</v>
      </c>
      <c r="E126" s="5">
        <v>13</v>
      </c>
      <c r="F126" s="5" t="s">
        <v>24</v>
      </c>
      <c r="G126">
        <v>1.2669999999999999</v>
      </c>
      <c r="H126">
        <v>80.2136</v>
      </c>
      <c r="I126">
        <f>H126-G126</f>
        <v>78.946600000000004</v>
      </c>
      <c r="J126">
        <v>5</v>
      </c>
      <c r="K126">
        <f t="shared" si="12"/>
        <v>57.157143750000003</v>
      </c>
      <c r="L126">
        <f t="shared" si="16"/>
        <v>1.3812201733750911</v>
      </c>
      <c r="M126">
        <v>209</v>
      </c>
      <c r="N126">
        <v>40.548499999999997</v>
      </c>
      <c r="O126">
        <v>15.5329</v>
      </c>
      <c r="P126">
        <f>O126+N126</f>
        <v>56.081399999999995</v>
      </c>
      <c r="Q126">
        <v>56.058100000000003</v>
      </c>
      <c r="R126">
        <v>55.755299999999998</v>
      </c>
      <c r="S126">
        <f t="shared" ref="S126" si="45">R126-N126</f>
        <v>15.206800000000001</v>
      </c>
      <c r="T126">
        <f t="shared" ref="T126" si="46">((O126-S126)/O126)*100</f>
        <v>2.0994147905413576</v>
      </c>
      <c r="U126">
        <f t="shared" si="15"/>
        <v>0.20976591621654306</v>
      </c>
      <c r="V126">
        <f>L126*(U126/100)</f>
        <v>2.8973291516479838E-3</v>
      </c>
    </row>
    <row r="127" spans="1:30">
      <c r="A127">
        <v>126</v>
      </c>
      <c r="B127" s="5" t="s">
        <v>33</v>
      </c>
      <c r="C127" s="5">
        <v>1</v>
      </c>
      <c r="D127" s="5" t="s">
        <v>30</v>
      </c>
      <c r="E127" s="5">
        <v>13</v>
      </c>
      <c r="F127" s="5" t="s">
        <v>25</v>
      </c>
      <c r="G127">
        <v>1.2667999999999999</v>
      </c>
      <c r="H127">
        <v>80.905600000000007</v>
      </c>
      <c r="I127">
        <f>H127-G127</f>
        <v>79.638800000000003</v>
      </c>
      <c r="J127">
        <v>5</v>
      </c>
      <c r="K127">
        <f t="shared" si="12"/>
        <v>57.157143750000003</v>
      </c>
      <c r="L127">
        <f t="shared" si="16"/>
        <v>1.3933306455678167</v>
      </c>
      <c r="M127" s="4"/>
      <c r="N127" s="4"/>
      <c r="O127" s="4"/>
      <c r="P127" s="4"/>
      <c r="Q127" s="4"/>
      <c r="R127" s="4"/>
      <c r="W127">
        <v>0</v>
      </c>
      <c r="X127">
        <v>0.1739</v>
      </c>
      <c r="Y127">
        <v>20.642399999999999</v>
      </c>
      <c r="Z127">
        <v>40.828200000000002</v>
      </c>
      <c r="AA127">
        <v>17.848199999999999</v>
      </c>
      <c r="AB127">
        <v>1.6214999999999999</v>
      </c>
      <c r="AC127">
        <v>0.14360000000000001</v>
      </c>
      <c r="AD127">
        <v>0.21609999999999999</v>
      </c>
    </row>
    <row r="128" spans="1:30">
      <c r="A128">
        <v>127</v>
      </c>
      <c r="B128" s="5" t="s">
        <v>33</v>
      </c>
      <c r="C128" s="5">
        <v>1</v>
      </c>
      <c r="D128" s="5" t="s">
        <v>30</v>
      </c>
      <c r="E128" s="5">
        <v>13</v>
      </c>
      <c r="F128" s="5" t="s">
        <v>26</v>
      </c>
      <c r="G128">
        <v>1.2684</v>
      </c>
      <c r="H128">
        <v>82.587699999999998</v>
      </c>
      <c r="I128">
        <f>H128-G128</f>
        <v>81.319299999999998</v>
      </c>
      <c r="J128">
        <v>5</v>
      </c>
      <c r="K128">
        <f t="shared" si="12"/>
        <v>57.157143750000003</v>
      </c>
      <c r="L128">
        <f t="shared" si="16"/>
        <v>1.422732044758622</v>
      </c>
      <c r="M128">
        <v>236</v>
      </c>
      <c r="N128">
        <v>39.637900000000002</v>
      </c>
      <c r="O128">
        <v>15.5648</v>
      </c>
      <c r="P128">
        <f>O128+N128</f>
        <v>55.2027</v>
      </c>
      <c r="Q128">
        <v>55.182099999999998</v>
      </c>
      <c r="R128">
        <v>54.892499999999998</v>
      </c>
      <c r="S128">
        <f t="shared" ref="S128" si="47">R128-N128</f>
        <v>15.254599999999996</v>
      </c>
      <c r="T128">
        <f t="shared" ref="T128" si="48">((O128-S128)/O128)*100</f>
        <v>1.9929584703947598</v>
      </c>
      <c r="U128">
        <f t="shared" si="15"/>
        <v>0.16718338815790401</v>
      </c>
      <c r="V128">
        <f>L128*(U128/100)</f>
        <v>2.3785716368356917E-3</v>
      </c>
    </row>
    <row r="129" spans="1:30">
      <c r="A129">
        <v>128</v>
      </c>
      <c r="B129" s="5" t="s">
        <v>33</v>
      </c>
      <c r="C129" s="5">
        <v>1</v>
      </c>
      <c r="D129" s="5" t="s">
        <v>30</v>
      </c>
      <c r="E129" s="5">
        <v>13</v>
      </c>
      <c r="F129" s="5" t="s">
        <v>27</v>
      </c>
      <c r="G129">
        <v>1.2685</v>
      </c>
      <c r="H129">
        <v>87.820300000000003</v>
      </c>
      <c r="I129">
        <f>H129-G129</f>
        <v>86.5518</v>
      </c>
      <c r="J129">
        <v>5</v>
      </c>
      <c r="K129">
        <f t="shared" si="12"/>
        <v>57.157143750000003</v>
      </c>
      <c r="L129">
        <f t="shared" si="16"/>
        <v>1.5142779068626919</v>
      </c>
      <c r="M129" s="4"/>
      <c r="N129" s="4"/>
      <c r="O129" s="4"/>
      <c r="P129" s="4"/>
      <c r="Q129" s="4"/>
      <c r="R129" s="4"/>
      <c r="W129">
        <v>0</v>
      </c>
      <c r="X129">
        <v>0.4824</v>
      </c>
      <c r="Y129">
        <v>16.044899999999998</v>
      </c>
      <c r="Z129">
        <v>44.442100000000003</v>
      </c>
      <c r="AA129">
        <v>23.018599999999999</v>
      </c>
      <c r="AB129">
        <v>2.0505</v>
      </c>
      <c r="AC129">
        <v>0.14119999999999999</v>
      </c>
      <c r="AD129">
        <v>0.1231</v>
      </c>
    </row>
    <row r="130" spans="1:30">
      <c r="A130">
        <v>129</v>
      </c>
      <c r="B130" s="5" t="s">
        <v>33</v>
      </c>
      <c r="C130" s="5">
        <v>1</v>
      </c>
      <c r="D130" s="5" t="s">
        <v>29</v>
      </c>
      <c r="E130" s="5">
        <v>14</v>
      </c>
      <c r="F130" s="5" t="s">
        <v>24</v>
      </c>
      <c r="G130">
        <v>1.2758</v>
      </c>
      <c r="H130">
        <v>59.637700000000002</v>
      </c>
      <c r="I130">
        <f>H130-G130</f>
        <v>58.361900000000006</v>
      </c>
      <c r="J130">
        <v>5</v>
      </c>
      <c r="K130">
        <f t="shared" si="12"/>
        <v>57.157143750000003</v>
      </c>
      <c r="L130">
        <f t="shared" ref="L130:L193" si="49">I130/K130</f>
        <v>1.0210779645545183</v>
      </c>
      <c r="M130">
        <v>3</v>
      </c>
      <c r="N130">
        <v>37.933900000000001</v>
      </c>
      <c r="O130">
        <v>15.300599999999999</v>
      </c>
      <c r="P130">
        <f>O130+N130</f>
        <v>53.234499999999997</v>
      </c>
      <c r="Q130">
        <v>53.205500000000001</v>
      </c>
      <c r="R130">
        <v>52.899099999999997</v>
      </c>
      <c r="S130">
        <f t="shared" ref="S130" si="50">R130-N130</f>
        <v>14.965199999999996</v>
      </c>
      <c r="T130">
        <f t="shared" ref="T130" si="51">((O130-S130)/O130)*100</f>
        <v>2.1920708991804472</v>
      </c>
      <c r="U130">
        <f t="shared" si="15"/>
        <v>0.24682835967217887</v>
      </c>
      <c r="V130">
        <f>L130*(U130/100)</f>
        <v>2.5203099908839895E-3</v>
      </c>
    </row>
    <row r="131" spans="1:30">
      <c r="A131">
        <v>130</v>
      </c>
      <c r="B131" s="5" t="s">
        <v>33</v>
      </c>
      <c r="C131" s="5">
        <v>1</v>
      </c>
      <c r="D131" s="5" t="s">
        <v>29</v>
      </c>
      <c r="E131" s="5">
        <v>14</v>
      </c>
      <c r="F131" s="5" t="s">
        <v>25</v>
      </c>
      <c r="G131">
        <v>1.2810999999999999</v>
      </c>
      <c r="H131">
        <v>50.430599999999998</v>
      </c>
      <c r="I131">
        <f>H131-G131</f>
        <v>49.149499999999996</v>
      </c>
      <c r="J131">
        <v>5</v>
      </c>
      <c r="K131">
        <f t="shared" ref="K131:K194" si="52">0.25*3.15*((7.62/2)^2)*J131</f>
        <v>57.157143750000003</v>
      </c>
      <c r="L131">
        <f t="shared" si="49"/>
        <v>0.85990126124873045</v>
      </c>
      <c r="M131" s="4"/>
      <c r="N131" s="4"/>
      <c r="O131" s="4"/>
      <c r="P131" s="4"/>
      <c r="Q131" s="4"/>
      <c r="R131" s="4"/>
      <c r="W131">
        <v>0</v>
      </c>
      <c r="X131">
        <v>0.14419999999999999</v>
      </c>
      <c r="Y131">
        <v>6.9333</v>
      </c>
      <c r="Z131">
        <v>20.696300000000001</v>
      </c>
      <c r="AA131">
        <v>18.628900000000002</v>
      </c>
      <c r="AB131">
        <v>2.2635999999999998</v>
      </c>
      <c r="AC131">
        <v>0.1366</v>
      </c>
      <c r="AD131">
        <v>0.16919999999999999</v>
      </c>
    </row>
    <row r="132" spans="1:30">
      <c r="A132">
        <v>131</v>
      </c>
      <c r="B132" s="5" t="s">
        <v>33</v>
      </c>
      <c r="C132" s="5">
        <v>1</v>
      </c>
      <c r="D132" s="5" t="s">
        <v>29</v>
      </c>
      <c r="E132" s="5">
        <v>14</v>
      </c>
      <c r="F132" s="5" t="s">
        <v>26</v>
      </c>
      <c r="G132">
        <v>1.276</v>
      </c>
      <c r="H132">
        <v>46.122799999999998</v>
      </c>
      <c r="I132">
        <f>H132-G132</f>
        <v>44.846799999999995</v>
      </c>
      <c r="J132">
        <v>5</v>
      </c>
      <c r="K132">
        <f t="shared" si="52"/>
        <v>57.157143750000003</v>
      </c>
      <c r="L132">
        <f t="shared" si="49"/>
        <v>0.78462283203226002</v>
      </c>
      <c r="M132">
        <v>206</v>
      </c>
      <c r="N132">
        <v>41.216299999999997</v>
      </c>
      <c r="O132">
        <v>15.034599999999999</v>
      </c>
      <c r="P132">
        <f>O132+N132</f>
        <v>56.250899999999994</v>
      </c>
      <c r="Q132">
        <v>56.235100000000003</v>
      </c>
      <c r="R132">
        <v>55.956899999999997</v>
      </c>
      <c r="S132">
        <f t="shared" ref="S132" si="53">R132-N132</f>
        <v>14.740600000000001</v>
      </c>
      <c r="T132">
        <f t="shared" ref="T132" si="54">((O132-S132)/O132)*100</f>
        <v>1.9554893379271729</v>
      </c>
      <c r="U132">
        <f t="shared" ref="U132:U194" si="55">-0.63+0.4*T132</f>
        <v>0.15219573517086926</v>
      </c>
      <c r="V132">
        <f>L132*(U132/100)</f>
        <v>1.1941624875299929E-3</v>
      </c>
    </row>
    <row r="133" spans="1:30">
      <c r="A133">
        <v>132</v>
      </c>
      <c r="B133" s="5" t="s">
        <v>33</v>
      </c>
      <c r="C133" s="5">
        <v>1</v>
      </c>
      <c r="D133" s="5" t="s">
        <v>29</v>
      </c>
      <c r="E133" s="5">
        <v>14</v>
      </c>
      <c r="F133" s="5" t="s">
        <v>27</v>
      </c>
      <c r="G133">
        <v>1.278</v>
      </c>
      <c r="H133">
        <v>50.9116</v>
      </c>
      <c r="I133">
        <f>H133-G133</f>
        <v>49.633600000000001</v>
      </c>
      <c r="J133">
        <v>5</v>
      </c>
      <c r="K133">
        <f t="shared" si="52"/>
        <v>57.157143750000003</v>
      </c>
      <c r="L133">
        <f t="shared" si="49"/>
        <v>0.86837089370827769</v>
      </c>
      <c r="M133" s="4"/>
      <c r="N133" s="4"/>
      <c r="O133" s="4"/>
      <c r="P133" s="4"/>
      <c r="Q133" s="4"/>
      <c r="R133" s="4"/>
      <c r="W133">
        <v>0</v>
      </c>
      <c r="X133">
        <v>0.4773</v>
      </c>
      <c r="Y133">
        <v>14.460900000000001</v>
      </c>
      <c r="Z133">
        <v>22.428599999999999</v>
      </c>
      <c r="AA133">
        <v>11.1347</v>
      </c>
      <c r="AB133">
        <v>0.89470000000000005</v>
      </c>
      <c r="AC133">
        <v>5.0799999999999998E-2</v>
      </c>
      <c r="AD133">
        <v>5.7500000000000002E-2</v>
      </c>
    </row>
    <row r="134" spans="1:30">
      <c r="A134">
        <v>133</v>
      </c>
      <c r="B134" s="5" t="s">
        <v>33</v>
      </c>
      <c r="C134" s="5">
        <v>1</v>
      </c>
      <c r="D134" s="5" t="s">
        <v>30</v>
      </c>
      <c r="E134" s="5">
        <v>14</v>
      </c>
      <c r="F134" s="5" t="s">
        <v>24</v>
      </c>
      <c r="G134">
        <v>1.2725</v>
      </c>
      <c r="H134">
        <v>67.346699999999998</v>
      </c>
      <c r="I134">
        <f>H134-G134</f>
        <v>66.074200000000005</v>
      </c>
      <c r="J134">
        <v>5</v>
      </c>
      <c r="K134">
        <f t="shared" si="52"/>
        <v>57.157143750000003</v>
      </c>
      <c r="L134">
        <f t="shared" si="49"/>
        <v>1.15600947956746</v>
      </c>
      <c r="M134">
        <v>0</v>
      </c>
      <c r="N134">
        <v>38.146999999999998</v>
      </c>
      <c r="O134">
        <v>15.496600000000001</v>
      </c>
      <c r="P134">
        <f>O134+N134</f>
        <v>53.643599999999999</v>
      </c>
      <c r="Q134">
        <v>53.611400000000003</v>
      </c>
      <c r="R134">
        <v>53.293799999999997</v>
      </c>
      <c r="S134">
        <f t="shared" ref="S134" si="56">R134-N134</f>
        <v>15.146799999999999</v>
      </c>
      <c r="T134">
        <f t="shared" ref="T134" si="57">((O134-S134)/O134)*100</f>
        <v>2.2572693364996312</v>
      </c>
      <c r="U134">
        <f t="shared" si="55"/>
        <v>0.27290773459985251</v>
      </c>
      <c r="V134">
        <f>L134*(U134/100)</f>
        <v>3.1548392824471004E-3</v>
      </c>
    </row>
    <row r="135" spans="1:30">
      <c r="A135">
        <v>134</v>
      </c>
      <c r="B135" s="5" t="s">
        <v>33</v>
      </c>
      <c r="C135" s="5">
        <v>1</v>
      </c>
      <c r="D135" s="5" t="s">
        <v>30</v>
      </c>
      <c r="E135" s="5">
        <v>14</v>
      </c>
      <c r="F135" s="5" t="s">
        <v>25</v>
      </c>
      <c r="G135">
        <v>1.2762</v>
      </c>
      <c r="H135">
        <v>65.496499999999997</v>
      </c>
      <c r="I135">
        <f>H135-G135</f>
        <v>64.220299999999995</v>
      </c>
      <c r="J135">
        <v>5</v>
      </c>
      <c r="K135">
        <f t="shared" si="52"/>
        <v>57.157143750000003</v>
      </c>
      <c r="L135">
        <f t="shared" si="49"/>
        <v>1.1235743388594359</v>
      </c>
      <c r="M135" s="4"/>
      <c r="N135" s="4"/>
      <c r="O135" s="4"/>
      <c r="P135" s="4"/>
      <c r="Q135" s="4"/>
      <c r="R135" s="4"/>
      <c r="W135">
        <v>0</v>
      </c>
      <c r="X135">
        <v>1.22</v>
      </c>
      <c r="Y135">
        <v>23.455400000000001</v>
      </c>
      <c r="Z135">
        <v>24.849900000000002</v>
      </c>
      <c r="AA135">
        <v>11.9863</v>
      </c>
      <c r="AB135">
        <v>1.4483999999999999</v>
      </c>
      <c r="AC135">
        <v>0.1212</v>
      </c>
      <c r="AD135">
        <v>0.16789999999999999</v>
      </c>
    </row>
    <row r="136" spans="1:30">
      <c r="A136">
        <v>135</v>
      </c>
      <c r="B136" s="5" t="s">
        <v>33</v>
      </c>
      <c r="C136" s="5">
        <v>1</v>
      </c>
      <c r="D136" s="5" t="s">
        <v>30</v>
      </c>
      <c r="E136" s="5">
        <v>14</v>
      </c>
      <c r="F136" s="5" t="s">
        <v>26</v>
      </c>
      <c r="G136">
        <v>1.2768999999999999</v>
      </c>
      <c r="H136">
        <v>54.775100000000002</v>
      </c>
      <c r="I136">
        <f>H136-G136</f>
        <v>53.498200000000004</v>
      </c>
      <c r="J136">
        <v>5</v>
      </c>
      <c r="K136">
        <f t="shared" si="52"/>
        <v>57.157143750000003</v>
      </c>
      <c r="L136">
        <f t="shared" si="49"/>
        <v>0.9359844892529291</v>
      </c>
      <c r="M136">
        <v>207</v>
      </c>
      <c r="N136">
        <v>38.2318</v>
      </c>
      <c r="O136">
        <v>15.116199999999999</v>
      </c>
      <c r="P136">
        <f>O136+N136</f>
        <v>53.347999999999999</v>
      </c>
      <c r="Q136">
        <v>53.307200000000002</v>
      </c>
      <c r="R136">
        <v>52.997</v>
      </c>
      <c r="S136">
        <f t="shared" ref="S136" si="58">R136-N136</f>
        <v>14.7652</v>
      </c>
      <c r="T136">
        <f t="shared" ref="T136" si="59">((O136-S136)/O136)*100</f>
        <v>2.3220121459096807</v>
      </c>
      <c r="U136">
        <f t="shared" si="55"/>
        <v>0.29880485836387238</v>
      </c>
      <c r="V136">
        <f>L136*(U136/100)</f>
        <v>2.7967671274200293E-3</v>
      </c>
    </row>
    <row r="137" spans="1:30">
      <c r="A137">
        <v>136</v>
      </c>
      <c r="B137" s="5" t="s">
        <v>33</v>
      </c>
      <c r="C137" s="5">
        <v>1</v>
      </c>
      <c r="D137" s="5" t="s">
        <v>30</v>
      </c>
      <c r="E137" s="5">
        <v>14</v>
      </c>
      <c r="F137" s="5" t="s">
        <v>27</v>
      </c>
      <c r="G137">
        <v>1.2789999999999999</v>
      </c>
      <c r="H137">
        <v>61.622799999999998</v>
      </c>
      <c r="I137">
        <f>H137-G137</f>
        <v>60.343800000000002</v>
      </c>
      <c r="J137">
        <v>5</v>
      </c>
      <c r="K137">
        <f t="shared" si="52"/>
        <v>57.157143750000003</v>
      </c>
      <c r="L137">
        <f t="shared" si="49"/>
        <v>1.0557525453675245</v>
      </c>
      <c r="M137" s="4"/>
      <c r="N137" s="4"/>
      <c r="O137" s="4"/>
      <c r="P137" s="4"/>
      <c r="Q137" s="4"/>
      <c r="R137" s="4"/>
      <c r="W137">
        <v>1.1577</v>
      </c>
      <c r="X137">
        <v>6.1803999999999997</v>
      </c>
      <c r="Y137">
        <v>20.0898</v>
      </c>
      <c r="Z137">
        <v>20.653199999999998</v>
      </c>
      <c r="AA137">
        <v>10.158899999999999</v>
      </c>
      <c r="AB137">
        <v>1.1967000000000001</v>
      </c>
      <c r="AC137">
        <v>9.69E-2</v>
      </c>
      <c r="AD137">
        <v>0.16</v>
      </c>
    </row>
    <row r="138" spans="1:30">
      <c r="A138">
        <v>137</v>
      </c>
      <c r="B138" s="5" t="s">
        <v>33</v>
      </c>
      <c r="C138" s="5">
        <v>1</v>
      </c>
      <c r="D138" s="5" t="s">
        <v>29</v>
      </c>
      <c r="E138" s="5">
        <v>15</v>
      </c>
      <c r="F138" s="5" t="s">
        <v>24</v>
      </c>
      <c r="G138">
        <v>1.2718</v>
      </c>
      <c r="H138">
        <v>84.392600000000002</v>
      </c>
      <c r="I138">
        <f>H138-G138</f>
        <v>83.120800000000003</v>
      </c>
      <c r="J138">
        <v>5</v>
      </c>
      <c r="K138">
        <f t="shared" si="52"/>
        <v>57.157143750000003</v>
      </c>
      <c r="L138">
        <f t="shared" si="49"/>
        <v>1.4542504146736688</v>
      </c>
      <c r="M138">
        <v>303</v>
      </c>
      <c r="N138">
        <v>37.108899999999998</v>
      </c>
      <c r="O138">
        <v>15.5305</v>
      </c>
      <c r="P138">
        <f>O138+N138</f>
        <v>52.639399999999995</v>
      </c>
      <c r="Q138">
        <v>52.610700000000001</v>
      </c>
      <c r="R138">
        <v>52.296900000000001</v>
      </c>
      <c r="S138">
        <f t="shared" ref="S138" si="60">R138-N138</f>
        <v>15.188000000000002</v>
      </c>
      <c r="T138">
        <f t="shared" ref="T138" si="61">((O138-S138)/O138)*100</f>
        <v>2.2053378835195105</v>
      </c>
      <c r="U138">
        <f t="shared" si="55"/>
        <v>0.25213515340780424</v>
      </c>
      <c r="V138">
        <f>L138*(U138/100)</f>
        <v>3.6666765139710842E-3</v>
      </c>
    </row>
    <row r="139" spans="1:30">
      <c r="A139">
        <v>138</v>
      </c>
      <c r="B139" s="5" t="s">
        <v>33</v>
      </c>
      <c r="C139" s="5">
        <v>1</v>
      </c>
      <c r="D139" s="5" t="s">
        <v>29</v>
      </c>
      <c r="E139" s="5">
        <v>15</v>
      </c>
      <c r="F139" s="5" t="s">
        <v>25</v>
      </c>
      <c r="G139">
        <v>1.2556</v>
      </c>
      <c r="H139">
        <v>77.251199999999997</v>
      </c>
      <c r="I139">
        <f>H139-G139</f>
        <v>75.995599999999996</v>
      </c>
      <c r="J139">
        <v>5</v>
      </c>
      <c r="K139">
        <f t="shared" si="52"/>
        <v>57.157143750000003</v>
      </c>
      <c r="L139">
        <f t="shared" si="49"/>
        <v>1.3295905815797522</v>
      </c>
      <c r="M139" s="4"/>
      <c r="N139" s="4"/>
      <c r="O139" s="4"/>
      <c r="P139" s="4"/>
      <c r="Q139" s="4"/>
      <c r="R139" s="4"/>
      <c r="W139">
        <v>0</v>
      </c>
      <c r="X139">
        <v>0.2641</v>
      </c>
      <c r="Y139">
        <v>13.7286</v>
      </c>
      <c r="Z139">
        <v>33.261499999999998</v>
      </c>
      <c r="AA139">
        <v>24.210999999999999</v>
      </c>
      <c r="AB139">
        <v>3.7038000000000002</v>
      </c>
      <c r="AC139">
        <v>0.24829999999999999</v>
      </c>
      <c r="AD139">
        <v>0.17330000000000001</v>
      </c>
    </row>
    <row r="140" spans="1:30">
      <c r="A140">
        <v>139</v>
      </c>
      <c r="B140" s="5" t="s">
        <v>33</v>
      </c>
      <c r="C140" s="5">
        <v>1</v>
      </c>
      <c r="D140" s="5" t="s">
        <v>29</v>
      </c>
      <c r="E140" s="5">
        <v>15</v>
      </c>
      <c r="F140" s="5" t="s">
        <v>26</v>
      </c>
      <c r="G140">
        <v>1.2579</v>
      </c>
      <c r="H140">
        <v>69.875100000000003</v>
      </c>
      <c r="I140">
        <f>H140-G140</f>
        <v>68.617199999999997</v>
      </c>
      <c r="J140">
        <v>5</v>
      </c>
      <c r="K140">
        <f t="shared" si="52"/>
        <v>57.157143750000003</v>
      </c>
      <c r="L140">
        <f t="shared" si="49"/>
        <v>1.2005008560281669</v>
      </c>
      <c r="M140">
        <v>158</v>
      </c>
      <c r="N140">
        <v>38.188600000000001</v>
      </c>
      <c r="O140">
        <v>15.255800000000001</v>
      </c>
      <c r="P140">
        <f>O140+N140</f>
        <v>53.444400000000002</v>
      </c>
      <c r="Q140">
        <v>53.413400000000003</v>
      </c>
      <c r="R140">
        <v>53.105499999999999</v>
      </c>
      <c r="S140">
        <f t="shared" ref="S140" si="62">R140-N140</f>
        <v>14.916899999999998</v>
      </c>
      <c r="T140">
        <f t="shared" ref="T140" si="63">((O140-S140)/O140)*100</f>
        <v>2.2214502025459328</v>
      </c>
      <c r="U140">
        <f t="shared" si="55"/>
        <v>0.25858008101837315</v>
      </c>
      <c r="V140">
        <f>L140*(U140/100)</f>
        <v>3.1042560861438973E-3</v>
      </c>
    </row>
    <row r="141" spans="1:30">
      <c r="A141">
        <v>140</v>
      </c>
      <c r="B141" s="5" t="s">
        <v>33</v>
      </c>
      <c r="C141" s="5">
        <v>1</v>
      </c>
      <c r="D141" s="5" t="s">
        <v>29</v>
      </c>
      <c r="E141" s="5">
        <v>15</v>
      </c>
      <c r="F141" s="5" t="s">
        <v>27</v>
      </c>
      <c r="G141">
        <v>1.2654000000000001</v>
      </c>
      <c r="H141">
        <v>75.211200000000005</v>
      </c>
      <c r="I141">
        <f>H141-G141</f>
        <v>73.945800000000006</v>
      </c>
      <c r="J141">
        <v>5</v>
      </c>
      <c r="K141">
        <f t="shared" si="52"/>
        <v>57.157143750000003</v>
      </c>
      <c r="L141">
        <f t="shared" si="49"/>
        <v>1.293728047773556</v>
      </c>
      <c r="M141" s="4"/>
      <c r="N141" s="4"/>
      <c r="O141" s="4"/>
      <c r="P141" s="4"/>
      <c r="Q141" s="4"/>
      <c r="R141" s="4"/>
      <c r="W141">
        <v>0</v>
      </c>
      <c r="X141">
        <v>0.87839999999999996</v>
      </c>
      <c r="Y141">
        <v>17.9147</v>
      </c>
      <c r="Z141">
        <v>32.808500000000002</v>
      </c>
      <c r="AA141">
        <v>19.1235</v>
      </c>
      <c r="AB141">
        <v>2.7336999999999998</v>
      </c>
      <c r="AC141">
        <v>0.21410000000000001</v>
      </c>
      <c r="AD141">
        <v>0.19500000000000001</v>
      </c>
    </row>
    <row r="142" spans="1:30">
      <c r="A142">
        <v>141</v>
      </c>
      <c r="B142" s="5" t="s">
        <v>33</v>
      </c>
      <c r="C142" s="5">
        <v>1</v>
      </c>
      <c r="D142" s="5" t="s">
        <v>30</v>
      </c>
      <c r="E142" s="5">
        <v>15</v>
      </c>
      <c r="F142" s="5" t="s">
        <v>24</v>
      </c>
      <c r="G142">
        <v>1.2644</v>
      </c>
      <c r="H142">
        <v>81.958500000000001</v>
      </c>
      <c r="I142">
        <f>H142-G142</f>
        <v>80.694100000000006</v>
      </c>
      <c r="J142">
        <v>5</v>
      </c>
      <c r="K142">
        <f t="shared" si="52"/>
        <v>57.157143750000003</v>
      </c>
      <c r="L142">
        <f t="shared" si="49"/>
        <v>1.4117937794958482</v>
      </c>
      <c r="M142">
        <v>311</v>
      </c>
      <c r="N142">
        <v>40.777500000000003</v>
      </c>
      <c r="O142">
        <v>15.818199999999999</v>
      </c>
      <c r="P142">
        <f>O142+N142</f>
        <v>56.595700000000001</v>
      </c>
      <c r="Q142">
        <v>56.575699999999998</v>
      </c>
      <c r="R142">
        <v>56.261099999999999</v>
      </c>
      <c r="S142">
        <f t="shared" ref="S142" si="64">R142-N142</f>
        <v>15.483599999999996</v>
      </c>
      <c r="T142">
        <f t="shared" ref="T142" si="65">((O142-S142)/O142)*100</f>
        <v>2.1152849249598793</v>
      </c>
      <c r="U142">
        <f t="shared" si="55"/>
        <v>0.21611396998395171</v>
      </c>
      <c r="V142">
        <f>L142*(U142/100)</f>
        <v>3.0510835848549553E-3</v>
      </c>
    </row>
    <row r="143" spans="1:30">
      <c r="A143">
        <v>142</v>
      </c>
      <c r="B143" s="5" t="s">
        <v>33</v>
      </c>
      <c r="C143" s="5">
        <v>1</v>
      </c>
      <c r="D143" s="5" t="s">
        <v>30</v>
      </c>
      <c r="E143" s="5">
        <v>15</v>
      </c>
      <c r="F143" s="5" t="s">
        <v>25</v>
      </c>
      <c r="G143">
        <v>1.2686999999999999</v>
      </c>
      <c r="H143">
        <v>79.280299999999997</v>
      </c>
      <c r="I143">
        <f>H143-G143</f>
        <v>78.011600000000001</v>
      </c>
      <c r="J143">
        <v>5</v>
      </c>
      <c r="K143">
        <f t="shared" si="52"/>
        <v>57.157143750000003</v>
      </c>
      <c r="L143">
        <f t="shared" si="49"/>
        <v>1.3648617632332265</v>
      </c>
      <c r="M143" s="4"/>
      <c r="N143" s="4"/>
      <c r="O143" s="4"/>
      <c r="P143" s="4"/>
      <c r="Q143" s="4"/>
      <c r="R143" s="4"/>
      <c r="W143">
        <v>0</v>
      </c>
      <c r="X143">
        <v>0.88429999999999997</v>
      </c>
      <c r="Y143">
        <v>14.4597</v>
      </c>
      <c r="Z143">
        <v>33.6128</v>
      </c>
      <c r="AA143">
        <v>24.349499999999999</v>
      </c>
      <c r="AB143">
        <v>3.6869000000000001</v>
      </c>
      <c r="AC143">
        <v>0.30940000000000001</v>
      </c>
      <c r="AD143">
        <v>0.32590000000000002</v>
      </c>
    </row>
    <row r="144" spans="1:30">
      <c r="A144">
        <v>143</v>
      </c>
      <c r="B144" s="5" t="s">
        <v>33</v>
      </c>
      <c r="C144" s="5">
        <v>1</v>
      </c>
      <c r="D144" s="5" t="s">
        <v>30</v>
      </c>
      <c r="E144" s="5">
        <v>15</v>
      </c>
      <c r="F144" s="5" t="s">
        <v>26</v>
      </c>
      <c r="G144">
        <v>1.2616000000000001</v>
      </c>
      <c r="H144">
        <v>75.397199999999998</v>
      </c>
      <c r="I144">
        <f>H144-G144</f>
        <v>74.135599999999997</v>
      </c>
      <c r="J144">
        <v>5</v>
      </c>
      <c r="K144">
        <f t="shared" si="52"/>
        <v>57.157143750000003</v>
      </c>
      <c r="L144">
        <f t="shared" si="49"/>
        <v>1.2970487175542251</v>
      </c>
      <c r="M144">
        <v>160</v>
      </c>
      <c r="N144">
        <v>38.910200000000003</v>
      </c>
      <c r="O144">
        <v>15.3399</v>
      </c>
      <c r="P144">
        <f>O144+N144</f>
        <v>54.250100000000003</v>
      </c>
      <c r="Q144">
        <v>54.293100000000003</v>
      </c>
      <c r="R144">
        <v>53.979100000000003</v>
      </c>
      <c r="S144">
        <f t="shared" ref="S144" si="66">R144-N144</f>
        <v>15.068899999999999</v>
      </c>
      <c r="T144">
        <f t="shared" ref="T144" si="67">((O144-S144)/O144)*100</f>
        <v>1.7666347238248021</v>
      </c>
      <c r="U144">
        <f t="shared" si="55"/>
        <v>7.6653889529920916E-2</v>
      </c>
      <c r="V144">
        <f>L144*(U144/100)</f>
        <v>9.9423829110327163E-4</v>
      </c>
    </row>
    <row r="145" spans="1:30">
      <c r="A145">
        <v>144</v>
      </c>
      <c r="B145" s="5" t="s">
        <v>33</v>
      </c>
      <c r="C145" s="5">
        <v>1</v>
      </c>
      <c r="D145" s="5" t="s">
        <v>30</v>
      </c>
      <c r="E145" s="5">
        <v>15</v>
      </c>
      <c r="F145" s="5" t="s">
        <v>27</v>
      </c>
      <c r="G145">
        <v>1.2683</v>
      </c>
      <c r="H145">
        <v>70.237700000000004</v>
      </c>
      <c r="I145">
        <f>H145-G145</f>
        <v>68.969400000000007</v>
      </c>
      <c r="J145">
        <v>5</v>
      </c>
      <c r="K145">
        <f t="shared" si="52"/>
        <v>57.157143750000003</v>
      </c>
      <c r="L145">
        <f t="shared" si="49"/>
        <v>1.2066628154420331</v>
      </c>
      <c r="M145" s="4"/>
      <c r="N145" s="4"/>
      <c r="O145" s="4"/>
      <c r="P145" s="4"/>
      <c r="Q145" s="4"/>
      <c r="R145" s="4"/>
      <c r="W145">
        <v>0.28939999999999999</v>
      </c>
      <c r="X145">
        <v>1.7484999999999999</v>
      </c>
      <c r="Y145">
        <v>20.0472</v>
      </c>
      <c r="Z145">
        <v>25.854600000000001</v>
      </c>
      <c r="AA145">
        <v>15.860099999999999</v>
      </c>
      <c r="AB145">
        <v>3.6259000000000001</v>
      </c>
      <c r="AC145">
        <v>0.44269999999999998</v>
      </c>
      <c r="AD145">
        <v>0.62470000000000003</v>
      </c>
    </row>
    <row r="146" spans="1:30">
      <c r="A146">
        <v>145</v>
      </c>
      <c r="B146" t="s">
        <v>22</v>
      </c>
      <c r="C146">
        <v>2</v>
      </c>
      <c r="D146" t="s">
        <v>23</v>
      </c>
      <c r="E146">
        <v>1</v>
      </c>
      <c r="F146" t="s">
        <v>24</v>
      </c>
      <c r="G146">
        <v>1.28</v>
      </c>
      <c r="H146">
        <v>100.91079999999999</v>
      </c>
      <c r="I146">
        <f>H146-G146</f>
        <v>99.630799999999994</v>
      </c>
      <c r="J146">
        <v>5</v>
      </c>
      <c r="K146">
        <f t="shared" si="52"/>
        <v>57.157143750000003</v>
      </c>
      <c r="L146">
        <f t="shared" si="49"/>
        <v>1.7431031969647712</v>
      </c>
      <c r="M146">
        <v>207</v>
      </c>
      <c r="N146">
        <v>38.228200000000001</v>
      </c>
      <c r="O146">
        <v>12.5364</v>
      </c>
      <c r="P146">
        <f>N146+O146</f>
        <v>50.764600000000002</v>
      </c>
      <c r="Q146">
        <v>50.698599999999999</v>
      </c>
      <c r="R146">
        <v>50.453699999999998</v>
      </c>
      <c r="S146">
        <f t="shared" ref="S146" si="68">R146-N146</f>
        <v>12.225499999999997</v>
      </c>
      <c r="T146">
        <f t="shared" ref="T146" si="69">((O146-S146)/O146)*100</f>
        <v>2.4799783031811664</v>
      </c>
      <c r="U146">
        <f t="shared" si="55"/>
        <v>0.36199132127246658</v>
      </c>
      <c r="V146">
        <f>L146*(U146/100)</f>
        <v>6.3098822938353807E-3</v>
      </c>
    </row>
    <row r="147" spans="1:30">
      <c r="A147">
        <v>146</v>
      </c>
      <c r="B147" t="s">
        <v>22</v>
      </c>
      <c r="C147">
        <v>2</v>
      </c>
      <c r="D147" t="s">
        <v>23</v>
      </c>
      <c r="E147">
        <v>1</v>
      </c>
      <c r="F147" t="s">
        <v>25</v>
      </c>
      <c r="G147">
        <v>1.2868999999999999</v>
      </c>
      <c r="H147">
        <v>88.6982</v>
      </c>
      <c r="I147">
        <f>H147-G147</f>
        <v>87.411299999999997</v>
      </c>
      <c r="J147">
        <v>5</v>
      </c>
      <c r="K147">
        <f t="shared" si="52"/>
        <v>57.157143750000003</v>
      </c>
      <c r="L147">
        <f t="shared" si="49"/>
        <v>1.529315397255133</v>
      </c>
      <c r="M147" s="4"/>
      <c r="N147" s="4"/>
      <c r="O147" s="4"/>
      <c r="P147" s="4"/>
      <c r="Q147" s="4"/>
      <c r="R147" s="4"/>
      <c r="W147">
        <v>0</v>
      </c>
      <c r="X147">
        <v>0.50229999999999997</v>
      </c>
      <c r="Y147">
        <v>20.713799999999999</v>
      </c>
      <c r="Z147">
        <v>30.878299999999999</v>
      </c>
      <c r="AA147">
        <v>29.998000000000001</v>
      </c>
      <c r="AB147">
        <v>3.5678000000000001</v>
      </c>
      <c r="AC147">
        <v>0.32329999999999998</v>
      </c>
      <c r="AD147">
        <v>0.38040000000000002</v>
      </c>
    </row>
    <row r="148" spans="1:30">
      <c r="A148">
        <v>147</v>
      </c>
      <c r="B148" t="s">
        <v>22</v>
      </c>
      <c r="C148">
        <v>2</v>
      </c>
      <c r="D148" t="s">
        <v>23</v>
      </c>
      <c r="E148">
        <v>1</v>
      </c>
      <c r="F148" t="s">
        <v>26</v>
      </c>
      <c r="G148">
        <v>1.2856000000000001</v>
      </c>
      <c r="H148">
        <v>83.600899999999996</v>
      </c>
      <c r="I148">
        <f>H148-G148</f>
        <v>82.315299999999993</v>
      </c>
      <c r="J148">
        <v>5</v>
      </c>
      <c r="K148">
        <f t="shared" si="52"/>
        <v>57.157143750000003</v>
      </c>
      <c r="L148">
        <f t="shared" si="49"/>
        <v>1.4401576880755171</v>
      </c>
      <c r="M148">
        <v>3</v>
      </c>
      <c r="N148">
        <v>37.930700000000002</v>
      </c>
      <c r="O148">
        <v>15.228999999999999</v>
      </c>
      <c r="P148">
        <v>53.160299999999999</v>
      </c>
      <c r="Q148">
        <v>53.081899999999997</v>
      </c>
      <c r="R148">
        <v>52.768900000000002</v>
      </c>
      <c r="S148">
        <f t="shared" ref="S148" si="70">R148-N148</f>
        <v>14.838200000000001</v>
      </c>
      <c r="T148">
        <f t="shared" ref="T148" si="71">((O148-S148)/O148)*100</f>
        <v>2.5661566747652422</v>
      </c>
      <c r="U148">
        <f t="shared" si="55"/>
        <v>0.39646266990609702</v>
      </c>
      <c r="V148">
        <f>L148*(U148/100)</f>
        <v>5.7096876210021158E-3</v>
      </c>
    </row>
    <row r="149" spans="1:30">
      <c r="A149">
        <v>148</v>
      </c>
      <c r="B149" t="s">
        <v>22</v>
      </c>
      <c r="C149">
        <v>2</v>
      </c>
      <c r="D149" t="s">
        <v>23</v>
      </c>
      <c r="E149">
        <v>1</v>
      </c>
      <c r="F149" t="s">
        <v>27</v>
      </c>
      <c r="G149">
        <v>1.2663</v>
      </c>
      <c r="H149">
        <v>84.408100000000005</v>
      </c>
      <c r="I149">
        <f>H149-G149</f>
        <v>83.141800000000003</v>
      </c>
      <c r="J149">
        <v>5</v>
      </c>
      <c r="K149">
        <f t="shared" si="52"/>
        <v>57.157143750000003</v>
      </c>
      <c r="L149">
        <f t="shared" si="49"/>
        <v>1.4546178228158926</v>
      </c>
      <c r="M149" s="4"/>
      <c r="N149" s="4"/>
      <c r="O149" s="4"/>
      <c r="P149" s="4"/>
      <c r="Q149" s="4"/>
      <c r="R149" s="4"/>
      <c r="W149">
        <v>0</v>
      </c>
      <c r="X149">
        <v>0.54549999999999998</v>
      </c>
      <c r="Y149">
        <v>24.290500000000002</v>
      </c>
      <c r="Z149">
        <v>32.414000000000001</v>
      </c>
      <c r="AA149">
        <v>23.583400000000001</v>
      </c>
      <c r="AB149">
        <v>1.7962</v>
      </c>
      <c r="AC149">
        <v>9.01E-2</v>
      </c>
      <c r="AD149">
        <v>0.14910000000000001</v>
      </c>
    </row>
    <row r="150" spans="1:30">
      <c r="A150">
        <v>149</v>
      </c>
      <c r="B150" t="s">
        <v>22</v>
      </c>
      <c r="C150">
        <v>2</v>
      </c>
      <c r="D150" t="s">
        <v>28</v>
      </c>
      <c r="E150">
        <v>1</v>
      </c>
      <c r="F150" t="s">
        <v>24</v>
      </c>
      <c r="G150">
        <v>1.2838000000000001</v>
      </c>
      <c r="H150">
        <v>78.133099999999999</v>
      </c>
      <c r="I150">
        <f>H150-G150</f>
        <v>76.849299999999999</v>
      </c>
      <c r="J150">
        <v>5</v>
      </c>
      <c r="K150">
        <f t="shared" si="52"/>
        <v>57.157143750000003</v>
      </c>
      <c r="L150">
        <f t="shared" si="49"/>
        <v>1.3445265973424363</v>
      </c>
      <c r="M150">
        <v>155</v>
      </c>
      <c r="N150">
        <v>42.4084</v>
      </c>
      <c r="O150">
        <v>15.5768</v>
      </c>
      <c r="P150">
        <f>O150+N150</f>
        <v>57.985199999999999</v>
      </c>
      <c r="Q150">
        <v>57.951500000000003</v>
      </c>
      <c r="R150">
        <v>57.585700000000003</v>
      </c>
      <c r="S150">
        <f t="shared" ref="S150" si="72">R150-N150</f>
        <v>15.177300000000002</v>
      </c>
      <c r="T150">
        <f t="shared" ref="T150" si="73">((O150-S150)/O150)*100</f>
        <v>2.5647116224128061</v>
      </c>
      <c r="U150">
        <f t="shared" si="55"/>
        <v>0.39588464896512254</v>
      </c>
      <c r="V150">
        <f>L150*(U150/100)</f>
        <v>5.3227744001318102E-3</v>
      </c>
    </row>
    <row r="151" spans="1:30">
      <c r="A151">
        <v>150</v>
      </c>
      <c r="B151" t="s">
        <v>22</v>
      </c>
      <c r="C151">
        <v>2</v>
      </c>
      <c r="D151" t="s">
        <v>28</v>
      </c>
      <c r="E151">
        <v>1</v>
      </c>
      <c r="F151" t="s">
        <v>25</v>
      </c>
      <c r="G151">
        <v>1.2778</v>
      </c>
      <c r="H151">
        <v>96.496099999999998</v>
      </c>
      <c r="I151">
        <f>H151-G151</f>
        <v>95.218299999999999</v>
      </c>
      <c r="J151">
        <v>5</v>
      </c>
      <c r="K151">
        <f t="shared" si="52"/>
        <v>57.157143750000003</v>
      </c>
      <c r="L151">
        <f t="shared" si="49"/>
        <v>1.6659037480332455</v>
      </c>
      <c r="M151" s="4"/>
      <c r="N151" s="4"/>
      <c r="O151" s="4"/>
      <c r="P151" s="4"/>
      <c r="Q151" s="4"/>
      <c r="R151" s="4"/>
      <c r="W151">
        <v>0</v>
      </c>
      <c r="X151">
        <v>0</v>
      </c>
      <c r="Y151">
        <v>27.522500000000001</v>
      </c>
      <c r="Z151">
        <v>36.728099999999998</v>
      </c>
      <c r="AA151">
        <v>26.930299999999999</v>
      </c>
      <c r="AB151">
        <v>2.5714000000000001</v>
      </c>
      <c r="AC151">
        <v>0.23069999999999999</v>
      </c>
      <c r="AD151">
        <v>0.23949999999999999</v>
      </c>
    </row>
    <row r="152" spans="1:30">
      <c r="A152">
        <v>151</v>
      </c>
      <c r="B152" t="s">
        <v>22</v>
      </c>
      <c r="C152">
        <v>2</v>
      </c>
      <c r="D152" t="s">
        <v>28</v>
      </c>
      <c r="E152">
        <v>1</v>
      </c>
      <c r="F152" t="s">
        <v>26</v>
      </c>
      <c r="G152">
        <v>1.2718</v>
      </c>
      <c r="H152">
        <v>93.975899999999996</v>
      </c>
      <c r="I152">
        <f>H152-G152</f>
        <v>92.704099999999997</v>
      </c>
      <c r="J152">
        <v>5</v>
      </c>
      <c r="K152">
        <f t="shared" si="52"/>
        <v>57.157143750000003</v>
      </c>
      <c r="L152">
        <f t="shared" si="49"/>
        <v>1.6219162455961595</v>
      </c>
      <c r="M152">
        <v>4</v>
      </c>
      <c r="N152">
        <v>37.547699999999999</v>
      </c>
      <c r="O152">
        <v>15.511200000000001</v>
      </c>
      <c r="P152">
        <f>O152+N152</f>
        <v>53.058900000000001</v>
      </c>
      <c r="Q152">
        <v>53.025799999999997</v>
      </c>
      <c r="R152">
        <v>52.686199999999999</v>
      </c>
      <c r="S152">
        <f t="shared" ref="S152" si="74">R152-N152</f>
        <v>15.138500000000001</v>
      </c>
      <c r="T152">
        <f t="shared" ref="T152" si="75">((O152-S152)/O152)*100</f>
        <v>2.4027799267625976</v>
      </c>
      <c r="U152">
        <f t="shared" si="55"/>
        <v>0.33111197070503906</v>
      </c>
      <c r="V152">
        <f>L152*(U152/100)</f>
        <v>5.3703588439786253E-3</v>
      </c>
    </row>
    <row r="153" spans="1:30">
      <c r="A153">
        <v>152</v>
      </c>
      <c r="B153" t="s">
        <v>22</v>
      </c>
      <c r="C153">
        <v>2</v>
      </c>
      <c r="D153" t="s">
        <v>28</v>
      </c>
      <c r="E153">
        <v>1</v>
      </c>
      <c r="F153" t="s">
        <v>27</v>
      </c>
      <c r="G153">
        <v>1.2841</v>
      </c>
      <c r="H153">
        <v>84.177300000000002</v>
      </c>
      <c r="I153">
        <f>H153-G153</f>
        <v>82.893200000000007</v>
      </c>
      <c r="J153">
        <v>5</v>
      </c>
      <c r="K153">
        <f t="shared" si="52"/>
        <v>57.157143750000003</v>
      </c>
      <c r="L153">
        <f t="shared" si="49"/>
        <v>1.4502684102369969</v>
      </c>
      <c r="M153" s="4"/>
      <c r="N153" s="4"/>
      <c r="O153" s="4"/>
      <c r="P153" s="4"/>
      <c r="Q153" s="4"/>
      <c r="R153" s="4"/>
      <c r="W153">
        <v>0</v>
      </c>
      <c r="X153">
        <v>0.19339999999999999</v>
      </c>
      <c r="Y153">
        <v>18.623999999999999</v>
      </c>
      <c r="Z153">
        <v>34.004199999999997</v>
      </c>
      <c r="AA153">
        <v>27.1892</v>
      </c>
      <c r="AB153">
        <v>2.3256000000000001</v>
      </c>
      <c r="AC153">
        <v>0.19</v>
      </c>
      <c r="AD153">
        <v>0.17019999999999999</v>
      </c>
    </row>
    <row r="154" spans="1:30">
      <c r="A154">
        <v>153</v>
      </c>
      <c r="B154" t="s">
        <v>22</v>
      </c>
      <c r="C154">
        <v>2</v>
      </c>
      <c r="D154" t="s">
        <v>29</v>
      </c>
      <c r="E154">
        <v>1</v>
      </c>
      <c r="F154" t="s">
        <v>24</v>
      </c>
      <c r="G154">
        <v>1.2828999999999999</v>
      </c>
      <c r="H154">
        <v>92.843100000000007</v>
      </c>
      <c r="I154">
        <f>H154-G154</f>
        <v>91.560200000000009</v>
      </c>
      <c r="J154">
        <v>5</v>
      </c>
      <c r="K154">
        <f t="shared" si="52"/>
        <v>57.157143750000003</v>
      </c>
      <c r="L154">
        <f t="shared" si="49"/>
        <v>1.6019029992204605</v>
      </c>
      <c r="M154">
        <v>160</v>
      </c>
      <c r="N154">
        <v>38.9086</v>
      </c>
      <c r="O154">
        <v>15.802300000000001</v>
      </c>
      <c r="P154">
        <v>54.7102</v>
      </c>
      <c r="Q154">
        <v>54.635800000000003</v>
      </c>
      <c r="R154">
        <v>54.316200000000002</v>
      </c>
      <c r="S154">
        <f t="shared" ref="S154" si="76">R154-N154</f>
        <v>15.407600000000002</v>
      </c>
      <c r="T154">
        <f t="shared" ref="T154" si="77">((O154-S154)/O154)*100</f>
        <v>2.4977376710985011</v>
      </c>
      <c r="U154">
        <f t="shared" si="55"/>
        <v>0.36909506843940043</v>
      </c>
      <c r="V154">
        <f>L154*(U154/100)</f>
        <v>5.9125449713055668E-3</v>
      </c>
    </row>
    <row r="155" spans="1:30">
      <c r="A155">
        <v>154</v>
      </c>
      <c r="B155" t="s">
        <v>22</v>
      </c>
      <c r="C155">
        <v>2</v>
      </c>
      <c r="D155" s="5" t="s">
        <v>29</v>
      </c>
      <c r="E155">
        <v>1</v>
      </c>
      <c r="F155" s="5" t="s">
        <v>25</v>
      </c>
      <c r="G155">
        <v>1.2846</v>
      </c>
      <c r="H155">
        <v>93.970600000000005</v>
      </c>
      <c r="I155">
        <f>H155-G155</f>
        <v>92.686000000000007</v>
      </c>
      <c r="J155">
        <v>5</v>
      </c>
      <c r="K155">
        <f t="shared" si="52"/>
        <v>57.157143750000003</v>
      </c>
      <c r="L155">
        <f t="shared" si="49"/>
        <v>1.6215995747688146</v>
      </c>
      <c r="M155" s="4"/>
      <c r="N155" s="4"/>
      <c r="O155" s="4"/>
      <c r="P155" s="4"/>
      <c r="Q155" s="4"/>
      <c r="R155" s="4"/>
      <c r="W155">
        <v>0</v>
      </c>
      <c r="X155">
        <f>7.0952-6.9714</f>
        <v>0.12380000000000013</v>
      </c>
      <c r="Y155">
        <f>29.4053-6.9714</f>
        <v>22.433900000000001</v>
      </c>
      <c r="Z155">
        <f>46.549-6.9714</f>
        <v>39.577599999999997</v>
      </c>
      <c r="AA155">
        <f>34.7081-6.9714</f>
        <v>27.736700000000003</v>
      </c>
      <c r="AB155">
        <f>9.3223-6.9714</f>
        <v>2.3509000000000002</v>
      </c>
      <c r="AC155">
        <f>7.1198-6.9714</f>
        <v>0.14839999999999964</v>
      </c>
      <c r="AD155">
        <f>7.081-6.9714</f>
        <v>0.10960000000000036</v>
      </c>
    </row>
    <row r="156" spans="1:30">
      <c r="A156">
        <v>155</v>
      </c>
      <c r="B156" t="s">
        <v>22</v>
      </c>
      <c r="C156">
        <v>2</v>
      </c>
      <c r="D156" t="s">
        <v>29</v>
      </c>
      <c r="E156">
        <v>1</v>
      </c>
      <c r="F156" t="s">
        <v>26</v>
      </c>
      <c r="G156">
        <v>1.2775000000000001</v>
      </c>
      <c r="H156">
        <v>85.276499999999999</v>
      </c>
      <c r="I156">
        <f>H156-G156</f>
        <v>83.998999999999995</v>
      </c>
      <c r="J156">
        <v>5</v>
      </c>
      <c r="K156">
        <f t="shared" si="52"/>
        <v>57.157143750000003</v>
      </c>
      <c r="L156">
        <f t="shared" si="49"/>
        <v>1.469615073268947</v>
      </c>
      <c r="M156">
        <v>303</v>
      </c>
      <c r="N156">
        <v>37.1083</v>
      </c>
      <c r="O156">
        <v>15.406599999999999</v>
      </c>
      <c r="P156">
        <v>52.514200000000002</v>
      </c>
      <c r="Q156">
        <v>52.435099999999998</v>
      </c>
      <c r="R156">
        <v>52.101100000000002</v>
      </c>
      <c r="S156">
        <f t="shared" ref="S156" si="78">R156-N156</f>
        <v>14.992800000000003</v>
      </c>
      <c r="T156">
        <f t="shared" ref="T156" si="79">((O156-S156)/O156)*100</f>
        <v>2.6858619033401054</v>
      </c>
      <c r="U156">
        <f t="shared" si="55"/>
        <v>0.44434476133604217</v>
      </c>
      <c r="V156">
        <f>L156*(U156/100)</f>
        <v>6.5301575898754046E-3</v>
      </c>
    </row>
    <row r="157" spans="1:30">
      <c r="A157">
        <v>156</v>
      </c>
      <c r="B157" t="s">
        <v>22</v>
      </c>
      <c r="C157">
        <v>2</v>
      </c>
      <c r="D157" s="5" t="s">
        <v>29</v>
      </c>
      <c r="E157">
        <v>1</v>
      </c>
      <c r="F157" s="5" t="s">
        <v>27</v>
      </c>
      <c r="G157">
        <v>1.2791999999999999</v>
      </c>
      <c r="H157">
        <v>91.481700000000004</v>
      </c>
      <c r="I157">
        <f>H157-G157</f>
        <v>90.202500000000001</v>
      </c>
      <c r="J157">
        <v>5</v>
      </c>
      <c r="K157">
        <f t="shared" si="52"/>
        <v>57.157143750000003</v>
      </c>
      <c r="L157">
        <f t="shared" si="49"/>
        <v>1.5781491880444078</v>
      </c>
      <c r="M157" s="4"/>
      <c r="N157" s="4"/>
      <c r="O157" s="4"/>
      <c r="P157" s="4"/>
      <c r="Q157" s="4"/>
      <c r="R157" s="4"/>
      <c r="W157">
        <v>0</v>
      </c>
      <c r="X157">
        <f>7.0515-6.9714</f>
        <v>8.0099999999999838E-2</v>
      </c>
      <c r="Y157">
        <f>29.608-6.9714</f>
        <v>22.636600000000001</v>
      </c>
      <c r="Z157">
        <f>47.9643-6.9714</f>
        <v>40.992899999999999</v>
      </c>
      <c r="AA157">
        <f>30.28-6.9714</f>
        <v>23.308600000000002</v>
      </c>
      <c r="AB157">
        <f>9.3032-6.9714</f>
        <v>2.3318000000000003</v>
      </c>
      <c r="AC157">
        <f>7.1657-6.9714</f>
        <v>0.19430000000000014</v>
      </c>
      <c r="AD157">
        <f>7.1658-6.9714</f>
        <v>0.19439999999999991</v>
      </c>
    </row>
    <row r="158" spans="1:30">
      <c r="A158">
        <v>157</v>
      </c>
      <c r="B158" t="s">
        <v>22</v>
      </c>
      <c r="C158">
        <v>2</v>
      </c>
      <c r="D158" t="s">
        <v>30</v>
      </c>
      <c r="E158">
        <v>1</v>
      </c>
      <c r="F158" t="s">
        <v>24</v>
      </c>
      <c r="G158">
        <v>1.2670999999999999</v>
      </c>
      <c r="H158">
        <v>82.921499999999995</v>
      </c>
      <c r="I158">
        <f>H158-G158</f>
        <v>81.654399999999995</v>
      </c>
      <c r="J158">
        <v>5</v>
      </c>
      <c r="K158">
        <f t="shared" si="52"/>
        <v>57.157143750000003</v>
      </c>
      <c r="L158">
        <f t="shared" si="49"/>
        <v>1.4285948289709629</v>
      </c>
      <c r="M158">
        <v>236</v>
      </c>
      <c r="N158">
        <v>39.637300000000003</v>
      </c>
      <c r="O158">
        <v>15.1868</v>
      </c>
      <c r="P158">
        <v>54.823700000000002</v>
      </c>
      <c r="Q158">
        <v>54.745100000000001</v>
      </c>
      <c r="R158">
        <v>54.463299999999997</v>
      </c>
      <c r="S158">
        <f t="shared" ref="S158" si="80">R158-N158</f>
        <v>14.825999999999993</v>
      </c>
      <c r="T158">
        <f t="shared" ref="T158" si="81">((O158-S158)/O158)*100</f>
        <v>2.3757473595491243</v>
      </c>
      <c r="U158">
        <f t="shared" si="55"/>
        <v>0.32029894381964974</v>
      </c>
      <c r="V158">
        <f>L158*(U158/100)</f>
        <v>4.5757741486561259E-3</v>
      </c>
    </row>
    <row r="159" spans="1:30">
      <c r="A159">
        <v>158</v>
      </c>
      <c r="B159" t="s">
        <v>22</v>
      </c>
      <c r="C159">
        <v>2</v>
      </c>
      <c r="D159" s="5" t="s">
        <v>30</v>
      </c>
      <c r="E159">
        <v>1</v>
      </c>
      <c r="F159" t="s">
        <v>25</v>
      </c>
      <c r="G159">
        <v>1.2797000000000001</v>
      </c>
      <c r="H159">
        <v>91.270200000000003</v>
      </c>
      <c r="I159">
        <f>H159-G159</f>
        <v>89.990499999999997</v>
      </c>
      <c r="J159">
        <v>5</v>
      </c>
      <c r="K159">
        <f t="shared" si="52"/>
        <v>57.157143750000003</v>
      </c>
      <c r="L159">
        <f t="shared" si="49"/>
        <v>1.5744401153705305</v>
      </c>
      <c r="M159" s="4"/>
      <c r="N159" s="4"/>
      <c r="O159" s="4"/>
      <c r="P159" s="4"/>
      <c r="Q159" s="4"/>
      <c r="R159" s="4"/>
      <c r="W159">
        <v>0</v>
      </c>
      <c r="X159">
        <v>0.49159999999999998</v>
      </c>
      <c r="Y159">
        <v>30.504000000000001</v>
      </c>
      <c r="Z159">
        <v>35.920699999999997</v>
      </c>
      <c r="AA159">
        <v>21.227399999999999</v>
      </c>
      <c r="AB159">
        <v>1.4709000000000001</v>
      </c>
      <c r="AC159">
        <v>7.5700000000000003E-2</v>
      </c>
      <c r="AD159">
        <v>0.10680000000000001</v>
      </c>
    </row>
    <row r="160" spans="1:30">
      <c r="A160">
        <v>159</v>
      </c>
      <c r="B160" t="s">
        <v>22</v>
      </c>
      <c r="C160">
        <v>2</v>
      </c>
      <c r="D160" t="s">
        <v>30</v>
      </c>
      <c r="E160">
        <v>1</v>
      </c>
      <c r="F160" t="s">
        <v>26</v>
      </c>
      <c r="G160">
        <v>1.2693000000000001</v>
      </c>
      <c r="H160">
        <v>90.588099999999997</v>
      </c>
      <c r="I160">
        <f>H160-G160</f>
        <v>89.318799999999996</v>
      </c>
      <c r="J160">
        <v>5</v>
      </c>
      <c r="K160">
        <f t="shared" si="52"/>
        <v>57.157143750000003</v>
      </c>
      <c r="L160">
        <f t="shared" si="49"/>
        <v>1.5626883035071184</v>
      </c>
      <c r="M160">
        <v>150</v>
      </c>
      <c r="N160">
        <v>38.826999999999998</v>
      </c>
      <c r="O160">
        <v>15.205</v>
      </c>
      <c r="P160">
        <v>54.032200000000003</v>
      </c>
      <c r="Q160">
        <v>53.961100000000002</v>
      </c>
      <c r="R160">
        <v>53.63</v>
      </c>
      <c r="S160">
        <f t="shared" ref="S160" si="82">R160-N160</f>
        <v>14.803000000000004</v>
      </c>
      <c r="T160">
        <f t="shared" ref="T160" si="83">((O160-S160)/O160)*100</f>
        <v>2.6438671489641283</v>
      </c>
      <c r="U160">
        <f t="shared" si="55"/>
        <v>0.42754685958565142</v>
      </c>
      <c r="V160">
        <f>L160*(U160/100)</f>
        <v>6.6812247667569786E-3</v>
      </c>
    </row>
    <row r="161" spans="1:30">
      <c r="A161">
        <v>160</v>
      </c>
      <c r="B161" t="s">
        <v>22</v>
      </c>
      <c r="C161">
        <v>2</v>
      </c>
      <c r="D161" s="5" t="s">
        <v>30</v>
      </c>
      <c r="E161">
        <v>1</v>
      </c>
      <c r="F161" t="s">
        <v>27</v>
      </c>
      <c r="G161">
        <v>1.2786999999999999</v>
      </c>
      <c r="H161">
        <v>82.680899999999994</v>
      </c>
      <c r="I161">
        <f>H161-G161</f>
        <v>81.402199999999993</v>
      </c>
      <c r="J161">
        <v>5</v>
      </c>
      <c r="K161">
        <f t="shared" si="52"/>
        <v>57.157143750000003</v>
      </c>
      <c r="L161">
        <f t="shared" si="49"/>
        <v>1.4241824321391146</v>
      </c>
      <c r="M161" s="4"/>
      <c r="N161" s="4"/>
      <c r="O161" s="4"/>
      <c r="P161" s="4"/>
      <c r="Q161" s="4"/>
      <c r="R161" s="4"/>
      <c r="W161">
        <v>0</v>
      </c>
      <c r="X161">
        <v>0.64590000000000003</v>
      </c>
      <c r="Y161">
        <v>29.133600000000001</v>
      </c>
      <c r="Z161">
        <v>30.759599999999999</v>
      </c>
      <c r="AA161">
        <v>18.707000000000001</v>
      </c>
      <c r="AB161">
        <v>1.4673</v>
      </c>
      <c r="AC161">
        <v>9.5500000000000002E-2</v>
      </c>
      <c r="AD161">
        <v>0.10539999999999999</v>
      </c>
    </row>
    <row r="162" spans="1:30">
      <c r="A162">
        <v>161</v>
      </c>
      <c r="B162" t="s">
        <v>22</v>
      </c>
      <c r="C162">
        <v>2</v>
      </c>
      <c r="D162" t="s">
        <v>23</v>
      </c>
      <c r="E162">
        <v>2</v>
      </c>
      <c r="F162" s="5" t="s">
        <v>24</v>
      </c>
      <c r="G162">
        <v>1.2706999999999999</v>
      </c>
      <c r="H162">
        <v>90.202200000000005</v>
      </c>
      <c r="I162">
        <f>H162-G162</f>
        <v>88.9315</v>
      </c>
      <c r="J162">
        <v>5</v>
      </c>
      <c r="K162">
        <f t="shared" si="52"/>
        <v>57.157143750000003</v>
      </c>
      <c r="L162">
        <f t="shared" si="49"/>
        <v>1.5559122476269642</v>
      </c>
      <c r="M162">
        <v>306</v>
      </c>
      <c r="N162">
        <v>37.840000000000003</v>
      </c>
      <c r="O162">
        <v>15.524800000000001</v>
      </c>
      <c r="P162">
        <f>O162+N162</f>
        <v>53.364800000000002</v>
      </c>
      <c r="Q162">
        <v>53.3309</v>
      </c>
      <c r="R162">
        <v>52.960599999999999</v>
      </c>
      <c r="S162">
        <f>R162-N166</f>
        <v>14.813400000000001</v>
      </c>
      <c r="T162">
        <f t="shared" ref="T162" si="84">((O162-S162)/O162)*100</f>
        <v>4.5823456662887718</v>
      </c>
      <c r="U162">
        <f t="shared" si="55"/>
        <v>1.2029382665155088</v>
      </c>
      <c r="V162">
        <f>L162*(U162/100)</f>
        <v>1.8716663820106297E-2</v>
      </c>
    </row>
    <row r="163" spans="1:30">
      <c r="A163">
        <v>162</v>
      </c>
      <c r="B163" t="s">
        <v>22</v>
      </c>
      <c r="C163">
        <v>2</v>
      </c>
      <c r="D163" t="s">
        <v>23</v>
      </c>
      <c r="E163">
        <v>2</v>
      </c>
      <c r="F163" t="s">
        <v>25</v>
      </c>
      <c r="G163">
        <v>1.2734000000000001</v>
      </c>
      <c r="H163">
        <v>86.458799999999997</v>
      </c>
      <c r="I163">
        <f>H163-G163</f>
        <v>85.185400000000001</v>
      </c>
      <c r="J163">
        <v>5</v>
      </c>
      <c r="K163">
        <f t="shared" si="52"/>
        <v>57.157143750000003</v>
      </c>
      <c r="L163">
        <f t="shared" si="49"/>
        <v>1.4903718837420037</v>
      </c>
      <c r="M163" s="4"/>
      <c r="N163" s="4"/>
      <c r="O163" s="4"/>
      <c r="P163" s="4"/>
      <c r="Q163" s="4"/>
      <c r="R163" s="4"/>
      <c r="W163">
        <v>0</v>
      </c>
      <c r="X163">
        <v>0.66479999999999995</v>
      </c>
      <c r="Y163">
        <v>25.412600000000001</v>
      </c>
      <c r="Z163">
        <v>32.091700000000003</v>
      </c>
      <c r="AA163">
        <v>22.8277</v>
      </c>
      <c r="AB163">
        <v>3.0926</v>
      </c>
      <c r="AC163">
        <v>0.38600000000000001</v>
      </c>
      <c r="AD163">
        <v>0.42509999999999998</v>
      </c>
    </row>
    <row r="164" spans="1:30">
      <c r="A164">
        <v>163</v>
      </c>
      <c r="B164" t="s">
        <v>22</v>
      </c>
      <c r="C164">
        <v>2</v>
      </c>
      <c r="D164" t="s">
        <v>23</v>
      </c>
      <c r="E164">
        <v>2</v>
      </c>
      <c r="F164" s="5" t="s">
        <v>26</v>
      </c>
      <c r="G164">
        <v>1.268</v>
      </c>
      <c r="H164">
        <v>93.769400000000005</v>
      </c>
      <c r="I164">
        <f>H164-G164</f>
        <v>92.501400000000004</v>
      </c>
      <c r="J164">
        <v>5</v>
      </c>
      <c r="K164">
        <f t="shared" si="52"/>
        <v>57.157143750000003</v>
      </c>
      <c r="L164">
        <f t="shared" si="49"/>
        <v>1.61836988224241</v>
      </c>
      <c r="M164">
        <v>204</v>
      </c>
      <c r="N164">
        <v>39.5839</v>
      </c>
      <c r="O164">
        <v>15.1313</v>
      </c>
      <c r="P164">
        <f>O164+N164</f>
        <v>54.715199999999996</v>
      </c>
      <c r="Q164">
        <v>54.681899999999999</v>
      </c>
      <c r="R164">
        <v>54.363199999999999</v>
      </c>
      <c r="S164">
        <f t="shared" ref="S164" si="85">R164-N164</f>
        <v>14.779299999999999</v>
      </c>
      <c r="T164">
        <f t="shared" ref="T164" si="86">((O164-S164)/O164)*100</f>
        <v>2.3263037544692149</v>
      </c>
      <c r="U164">
        <f t="shared" si="55"/>
        <v>0.300521501787686</v>
      </c>
      <c r="V164">
        <f>L164*(U164/100)</f>
        <v>4.8635494745944956E-3</v>
      </c>
    </row>
    <row r="165" spans="1:30" ht="15.75">
      <c r="A165">
        <v>164</v>
      </c>
      <c r="B165" t="s">
        <v>22</v>
      </c>
      <c r="C165">
        <v>2</v>
      </c>
      <c r="D165" t="s">
        <v>23</v>
      </c>
      <c r="E165">
        <v>2</v>
      </c>
      <c r="F165" t="s">
        <v>27</v>
      </c>
      <c r="G165">
        <v>1.2636000000000001</v>
      </c>
      <c r="H165">
        <v>102.5231</v>
      </c>
      <c r="I165">
        <f>H165-G165</f>
        <v>101.2595</v>
      </c>
      <c r="J165">
        <v>5</v>
      </c>
      <c r="K165">
        <f t="shared" si="52"/>
        <v>57.157143750000003</v>
      </c>
      <c r="L165">
        <f t="shared" si="49"/>
        <v>1.7715983227380916</v>
      </c>
      <c r="M165" s="4"/>
      <c r="N165" s="4"/>
      <c r="O165" s="4"/>
      <c r="P165" s="4"/>
      <c r="Q165" s="4"/>
      <c r="R165" s="4"/>
      <c r="W165">
        <v>0</v>
      </c>
      <c r="X165">
        <v>0.88990000000000002</v>
      </c>
      <c r="Y165" s="8">
        <v>40.625399999999999</v>
      </c>
      <c r="Z165">
        <v>36.9465</v>
      </c>
      <c r="AA165">
        <v>19.209399999999999</v>
      </c>
      <c r="AB165">
        <v>2.1461999999999999</v>
      </c>
      <c r="AC165" s="8">
        <v>0.26910000000000001</v>
      </c>
      <c r="AD165">
        <v>0.30420000000000003</v>
      </c>
    </row>
    <row r="166" spans="1:30">
      <c r="A166">
        <v>165</v>
      </c>
      <c r="B166" t="s">
        <v>22</v>
      </c>
      <c r="C166">
        <v>2</v>
      </c>
      <c r="D166" t="s">
        <v>28</v>
      </c>
      <c r="E166">
        <v>2</v>
      </c>
      <c r="F166" s="5" t="s">
        <v>24</v>
      </c>
      <c r="G166">
        <v>1.2806999999999999</v>
      </c>
      <c r="H166">
        <v>70.482200000000006</v>
      </c>
      <c r="I166">
        <f>H166-G166</f>
        <v>69.20150000000001</v>
      </c>
      <c r="J166">
        <v>5</v>
      </c>
      <c r="K166">
        <f t="shared" si="52"/>
        <v>57.157143750000003</v>
      </c>
      <c r="L166">
        <f t="shared" si="49"/>
        <v>1.2107235501948959</v>
      </c>
      <c r="M166">
        <v>0</v>
      </c>
      <c r="N166">
        <v>38.147199999999998</v>
      </c>
      <c r="O166">
        <v>15.542400000000001</v>
      </c>
      <c r="P166">
        <v>53.690100000000001</v>
      </c>
      <c r="Q166">
        <v>53.591299999999997</v>
      </c>
      <c r="R166">
        <v>53.098799999999997</v>
      </c>
      <c r="S166">
        <f>R166-N166</f>
        <v>14.951599999999999</v>
      </c>
      <c r="T166">
        <f t="shared" ref="T166" si="87">((O166-S166)/O166)*100</f>
        <v>3.8012147416100572</v>
      </c>
      <c r="U166">
        <f t="shared" si="55"/>
        <v>0.89048589664402289</v>
      </c>
      <c r="V166">
        <f>L166*(U166/100)</f>
        <v>1.0781322461833364E-2</v>
      </c>
    </row>
    <row r="167" spans="1:30">
      <c r="A167">
        <v>166</v>
      </c>
      <c r="B167" t="s">
        <v>22</v>
      </c>
      <c r="C167">
        <v>2</v>
      </c>
      <c r="D167" t="s">
        <v>28</v>
      </c>
      <c r="E167">
        <v>2</v>
      </c>
      <c r="F167" s="5" t="s">
        <v>25</v>
      </c>
      <c r="G167">
        <v>1.2838000000000001</v>
      </c>
      <c r="H167">
        <v>65.319599999999994</v>
      </c>
      <c r="I167">
        <f>H167-G167</f>
        <v>64.035799999999995</v>
      </c>
      <c r="J167">
        <v>5</v>
      </c>
      <c r="K167">
        <f t="shared" si="52"/>
        <v>57.157143750000003</v>
      </c>
      <c r="L167">
        <f t="shared" si="49"/>
        <v>1.1203463958956135</v>
      </c>
      <c r="M167" s="4"/>
      <c r="N167" s="4"/>
      <c r="O167" s="4"/>
      <c r="P167" s="4"/>
      <c r="Q167" s="4"/>
      <c r="R167" s="4"/>
      <c r="W167">
        <v>0</v>
      </c>
      <c r="X167">
        <v>0.66339999999999999</v>
      </c>
      <c r="Y167">
        <v>16.339700000000001</v>
      </c>
      <c r="Z167">
        <v>23.0457</v>
      </c>
      <c r="AA167">
        <v>17.72</v>
      </c>
      <c r="AB167">
        <v>3.8332999999999999</v>
      </c>
      <c r="AC167">
        <v>0.60209999999999997</v>
      </c>
      <c r="AD167">
        <v>0.75539999999999996</v>
      </c>
    </row>
    <row r="168" spans="1:30">
      <c r="A168">
        <v>167</v>
      </c>
      <c r="B168" t="s">
        <v>22</v>
      </c>
      <c r="C168">
        <v>2</v>
      </c>
      <c r="D168" t="s">
        <v>28</v>
      </c>
      <c r="E168">
        <v>2</v>
      </c>
      <c r="F168" s="5" t="s">
        <v>26</v>
      </c>
      <c r="G168">
        <v>1.2923</v>
      </c>
      <c r="H168">
        <v>68.156499999999994</v>
      </c>
      <c r="I168">
        <f>H168-G168</f>
        <v>66.864199999999997</v>
      </c>
      <c r="J168">
        <v>5</v>
      </c>
      <c r="K168">
        <f t="shared" si="52"/>
        <v>57.157143750000003</v>
      </c>
      <c r="L168">
        <f t="shared" si="49"/>
        <v>1.1698310239653988</v>
      </c>
      <c r="M168">
        <v>140</v>
      </c>
      <c r="N168">
        <v>38.647500000000001</v>
      </c>
      <c r="O168">
        <v>15.7805</v>
      </c>
      <c r="P168">
        <v>54.426600000000001</v>
      </c>
      <c r="Q168">
        <v>54.354900000000001</v>
      </c>
      <c r="R168">
        <v>53.944200000000002</v>
      </c>
      <c r="S168">
        <f t="shared" ref="S168" si="88">R168-N168</f>
        <v>15.296700000000001</v>
      </c>
      <c r="T168">
        <f t="shared" ref="T168" si="89">((O168-S168)/O168)*100</f>
        <v>3.0658090681537256</v>
      </c>
      <c r="U168">
        <f t="shared" si="55"/>
        <v>0.59632362726149035</v>
      </c>
      <c r="V168">
        <f>L168*(U168/100)</f>
        <v>6.9759787949407008E-3</v>
      </c>
    </row>
    <row r="169" spans="1:30">
      <c r="A169">
        <v>168</v>
      </c>
      <c r="B169" t="s">
        <v>22</v>
      </c>
      <c r="C169">
        <v>2</v>
      </c>
      <c r="D169" t="s">
        <v>28</v>
      </c>
      <c r="E169">
        <v>2</v>
      </c>
      <c r="F169" s="5" t="s">
        <v>27</v>
      </c>
      <c r="G169">
        <v>1.2801</v>
      </c>
      <c r="H169">
        <v>63.884300000000003</v>
      </c>
      <c r="I169">
        <f>H169-G169</f>
        <v>62.604200000000006</v>
      </c>
      <c r="J169">
        <v>5</v>
      </c>
      <c r="K169">
        <f t="shared" si="52"/>
        <v>57.157143750000003</v>
      </c>
      <c r="L169">
        <f t="shared" si="49"/>
        <v>1.09529965797145</v>
      </c>
      <c r="M169" s="4"/>
      <c r="N169" s="4"/>
      <c r="O169" s="4"/>
      <c r="P169" s="4"/>
      <c r="Q169" s="4"/>
      <c r="R169" s="4"/>
      <c r="W169">
        <v>0</v>
      </c>
      <c r="X169">
        <v>0.46410000000000001</v>
      </c>
      <c r="Y169">
        <v>15.499599999999999</v>
      </c>
      <c r="Z169">
        <v>23.1678</v>
      </c>
      <c r="AA169">
        <v>19.515899999999998</v>
      </c>
      <c r="AB169">
        <v>2.9487000000000001</v>
      </c>
      <c r="AC169">
        <v>0.3392</v>
      </c>
      <c r="AD169">
        <v>0.32500000000000001</v>
      </c>
    </row>
    <row r="170" spans="1:30">
      <c r="A170">
        <v>169</v>
      </c>
      <c r="B170" t="s">
        <v>22</v>
      </c>
      <c r="C170">
        <v>2</v>
      </c>
      <c r="D170" t="s">
        <v>29</v>
      </c>
      <c r="E170">
        <v>2</v>
      </c>
      <c r="F170" s="5" t="s">
        <v>24</v>
      </c>
      <c r="G170">
        <v>1.2694000000000001</v>
      </c>
      <c r="H170">
        <v>83.313000000000002</v>
      </c>
      <c r="I170">
        <f>H170-G170</f>
        <v>82.043599999999998</v>
      </c>
      <c r="J170">
        <v>5</v>
      </c>
      <c r="K170">
        <f t="shared" si="52"/>
        <v>57.157143750000003</v>
      </c>
      <c r="L170">
        <f t="shared" si="49"/>
        <v>1.4354041265401754</v>
      </c>
      <c r="M170">
        <v>311</v>
      </c>
      <c r="N170">
        <v>40.777200000000001</v>
      </c>
      <c r="O170">
        <v>15.741899999999999</v>
      </c>
      <c r="P170">
        <v>56.518799999999999</v>
      </c>
      <c r="Q170">
        <v>56.441299999999998</v>
      </c>
      <c r="R170">
        <v>56.095199999999998</v>
      </c>
      <c r="S170">
        <f t="shared" ref="S170" si="90">R170-N170</f>
        <v>15.317999999999998</v>
      </c>
      <c r="T170">
        <f t="shared" ref="T170" si="91">((O170-S170)/O170)*100</f>
        <v>2.692813446915566</v>
      </c>
      <c r="U170">
        <f t="shared" si="55"/>
        <v>0.44712537876622649</v>
      </c>
      <c r="V170">
        <f>L170*(U170/100)</f>
        <v>6.4180561376188045E-3</v>
      </c>
    </row>
    <row r="171" spans="1:30">
      <c r="A171">
        <v>170</v>
      </c>
      <c r="B171" t="s">
        <v>22</v>
      </c>
      <c r="C171">
        <v>2</v>
      </c>
      <c r="D171" s="5" t="s">
        <v>29</v>
      </c>
      <c r="E171">
        <v>2</v>
      </c>
      <c r="F171" s="5" t="s">
        <v>25</v>
      </c>
      <c r="G171">
        <v>1.2696000000000001</v>
      </c>
      <c r="H171">
        <v>89.24</v>
      </c>
      <c r="I171">
        <f>H171-G171</f>
        <v>87.970399999999998</v>
      </c>
      <c r="J171">
        <v>5</v>
      </c>
      <c r="K171">
        <f t="shared" si="52"/>
        <v>57.157143750000003</v>
      </c>
      <c r="L171">
        <f t="shared" si="49"/>
        <v>1.5390972016511932</v>
      </c>
      <c r="M171" s="4"/>
      <c r="N171" s="4"/>
      <c r="O171" s="4"/>
      <c r="P171" s="4"/>
      <c r="Q171" s="4"/>
      <c r="R171" s="4"/>
      <c r="W171">
        <v>0</v>
      </c>
      <c r="X171">
        <f>7.3348-6.9714</f>
        <v>0.36340000000000039</v>
      </c>
      <c r="Y171">
        <f>34.9867-6.9714</f>
        <v>28.0153</v>
      </c>
      <c r="Z171">
        <f>41.9895-6.9714</f>
        <v>35.018099999999997</v>
      </c>
      <c r="AA171">
        <f>28.3592-6.9714</f>
        <v>21.387800000000002</v>
      </c>
      <c r="AB171">
        <f>9.3166-6.9714</f>
        <v>2.3451999999999993</v>
      </c>
      <c r="AC171">
        <f>7.1475-6.9714</f>
        <v>0.17609999999999992</v>
      </c>
      <c r="AD171">
        <f>7.0689-6.9714</f>
        <v>9.7500000000000142E-2</v>
      </c>
    </row>
    <row r="172" spans="1:30">
      <c r="A172">
        <v>171</v>
      </c>
      <c r="B172" t="s">
        <v>22</v>
      </c>
      <c r="C172">
        <v>2</v>
      </c>
      <c r="D172" t="s">
        <v>29</v>
      </c>
      <c r="E172">
        <v>2</v>
      </c>
      <c r="F172" s="5" t="s">
        <v>26</v>
      </c>
      <c r="G172">
        <v>1.2710999999999999</v>
      </c>
      <c r="H172">
        <v>86.441999999999993</v>
      </c>
      <c r="I172">
        <f>H172-G172</f>
        <v>85.170899999999989</v>
      </c>
      <c r="J172">
        <v>5</v>
      </c>
      <c r="K172">
        <f t="shared" si="52"/>
        <v>57.157143750000003</v>
      </c>
      <c r="L172">
        <f t="shared" si="49"/>
        <v>1.490118197167611</v>
      </c>
      <c r="M172">
        <v>158</v>
      </c>
      <c r="N172">
        <v>38.189100000000003</v>
      </c>
      <c r="O172">
        <v>15.7636</v>
      </c>
      <c r="P172">
        <v>53.9529</v>
      </c>
      <c r="Q172">
        <v>53.8874</v>
      </c>
      <c r="R172">
        <v>53.557299999999998</v>
      </c>
      <c r="S172">
        <f t="shared" ref="S172" si="92">R172-N172</f>
        <v>15.368199999999995</v>
      </c>
      <c r="T172">
        <f t="shared" ref="T172" si="93">((O172-S172)/O172)*100</f>
        <v>2.5083102844528264</v>
      </c>
      <c r="U172">
        <f t="shared" si="55"/>
        <v>0.37332411378113062</v>
      </c>
      <c r="V172">
        <f>L172*(U172/100)</f>
        <v>5.5629705538673439E-3</v>
      </c>
    </row>
    <row r="173" spans="1:30">
      <c r="A173">
        <v>172</v>
      </c>
      <c r="B173" t="s">
        <v>22</v>
      </c>
      <c r="C173">
        <v>2</v>
      </c>
      <c r="D173" s="5" t="s">
        <v>29</v>
      </c>
      <c r="E173">
        <v>2</v>
      </c>
      <c r="F173" s="5" t="s">
        <v>27</v>
      </c>
      <c r="G173">
        <v>1.2941</v>
      </c>
      <c r="H173">
        <v>85.6584</v>
      </c>
      <c r="I173">
        <f>H173-G173</f>
        <v>84.3643</v>
      </c>
      <c r="J173">
        <v>5</v>
      </c>
      <c r="K173">
        <f t="shared" si="52"/>
        <v>57.157143750000003</v>
      </c>
      <c r="L173">
        <f t="shared" si="49"/>
        <v>1.4760062253810573</v>
      </c>
      <c r="M173" s="4"/>
      <c r="N173" s="4"/>
      <c r="O173" s="4"/>
      <c r="P173" s="4"/>
      <c r="Q173" s="4"/>
      <c r="R173" s="4"/>
      <c r="W173">
        <v>0</v>
      </c>
      <c r="X173">
        <f>7.8452-6.9714</f>
        <v>0.87380000000000013</v>
      </c>
      <c r="Y173">
        <f>37.8141-6.9714</f>
        <v>30.842700000000004</v>
      </c>
      <c r="Z173">
        <f>36.8372-6.9714</f>
        <v>29.865800000000004</v>
      </c>
      <c r="AA173">
        <f>26.0094-6.9714</f>
        <v>19.038</v>
      </c>
      <c r="AB173">
        <f>9.3677-6.9714</f>
        <v>2.3962999999999992</v>
      </c>
      <c r="AC173">
        <f>7.2435-6.9714</f>
        <v>0.27210000000000001</v>
      </c>
      <c r="AD173">
        <f>7.3939-6.9714</f>
        <v>0.42250000000000032</v>
      </c>
    </row>
    <row r="174" spans="1:30">
      <c r="A174">
        <v>173</v>
      </c>
      <c r="B174" t="s">
        <v>22</v>
      </c>
      <c r="C174">
        <v>2</v>
      </c>
      <c r="D174" t="s">
        <v>30</v>
      </c>
      <c r="E174">
        <v>2</v>
      </c>
      <c r="F174" s="5" t="s">
        <v>24</v>
      </c>
      <c r="G174">
        <v>1.2823</v>
      </c>
      <c r="H174">
        <v>67.764799999999994</v>
      </c>
      <c r="I174">
        <f>H174-G174</f>
        <v>66.482499999999987</v>
      </c>
      <c r="J174">
        <v>5</v>
      </c>
      <c r="K174">
        <f t="shared" si="52"/>
        <v>57.157143750000003</v>
      </c>
      <c r="L174">
        <f t="shared" si="49"/>
        <v>1.1631529435898376</v>
      </c>
      <c r="M174">
        <v>8</v>
      </c>
      <c r="N174">
        <v>39.2423</v>
      </c>
      <c r="O174">
        <v>15.601599999999999</v>
      </c>
      <c r="P174">
        <v>54.844000000000001</v>
      </c>
      <c r="Q174">
        <v>54.767299999999999</v>
      </c>
      <c r="R174">
        <v>54.3977</v>
      </c>
      <c r="S174">
        <f t="shared" ref="S174" si="94">R174-N174</f>
        <v>15.1554</v>
      </c>
      <c r="T174">
        <f t="shared" ref="T174" si="95">((O174-S174)/O174)*100</f>
        <v>2.8599630807096661</v>
      </c>
      <c r="U174">
        <f t="shared" si="55"/>
        <v>0.51398523228386639</v>
      </c>
      <c r="V174">
        <f>L174*(U174/100)</f>
        <v>5.9784343589268565E-3</v>
      </c>
    </row>
    <row r="175" spans="1:30">
      <c r="A175">
        <v>174</v>
      </c>
      <c r="B175" t="s">
        <v>22</v>
      </c>
      <c r="C175">
        <v>2</v>
      </c>
      <c r="D175" s="5" t="s">
        <v>30</v>
      </c>
      <c r="E175">
        <v>2</v>
      </c>
      <c r="F175" s="5" t="s">
        <v>25</v>
      </c>
      <c r="G175">
        <v>1.2895000000000001</v>
      </c>
      <c r="H175">
        <v>70.347200000000001</v>
      </c>
      <c r="I175">
        <f>H175-G175</f>
        <v>69.057699999999997</v>
      </c>
      <c r="J175">
        <v>5</v>
      </c>
      <c r="K175">
        <f t="shared" si="52"/>
        <v>57.157143750000003</v>
      </c>
      <c r="L175">
        <f t="shared" si="49"/>
        <v>1.2082076792019545</v>
      </c>
      <c r="M175" s="4"/>
      <c r="N175" s="4"/>
      <c r="O175" s="4"/>
      <c r="P175" s="4"/>
      <c r="Q175" s="4"/>
      <c r="R175" s="4"/>
      <c r="W175">
        <v>0</v>
      </c>
      <c r="X175">
        <v>0.28349999999999997</v>
      </c>
      <c r="Y175">
        <v>19.9267</v>
      </c>
      <c r="Z175">
        <v>30.497699999999998</v>
      </c>
      <c r="AA175">
        <v>16.8294</v>
      </c>
      <c r="AB175">
        <v>1.2819</v>
      </c>
      <c r="AC175">
        <v>6.1800000000000001E-2</v>
      </c>
      <c r="AD175">
        <v>7.0699999999999999E-2</v>
      </c>
    </row>
    <row r="176" spans="1:30">
      <c r="A176">
        <v>175</v>
      </c>
      <c r="B176" t="s">
        <v>22</v>
      </c>
      <c r="C176">
        <v>2</v>
      </c>
      <c r="D176" t="s">
        <v>30</v>
      </c>
      <c r="E176">
        <v>2</v>
      </c>
      <c r="F176" s="5" t="s">
        <v>26</v>
      </c>
      <c r="G176">
        <v>1.2769999999999999</v>
      </c>
      <c r="H176">
        <v>85.077699999999993</v>
      </c>
      <c r="I176">
        <f>H176-G176</f>
        <v>83.800699999999992</v>
      </c>
      <c r="J176">
        <v>5</v>
      </c>
      <c r="K176">
        <f t="shared" si="52"/>
        <v>57.157143750000003</v>
      </c>
      <c r="L176">
        <f t="shared" si="49"/>
        <v>1.4661456906688062</v>
      </c>
      <c r="M176">
        <v>209</v>
      </c>
      <c r="N176">
        <v>40.549199999999999</v>
      </c>
      <c r="O176">
        <v>15.8055</v>
      </c>
      <c r="P176">
        <v>56.354399999999998</v>
      </c>
      <c r="Q176">
        <v>56.267899999999997</v>
      </c>
      <c r="R176">
        <v>55.898099999999999</v>
      </c>
      <c r="S176">
        <f t="shared" ref="S176" si="96">R176-N176</f>
        <v>15.3489</v>
      </c>
      <c r="T176">
        <f t="shared" ref="T176" si="97">((O176-S176)/O176)*100</f>
        <v>2.8888677991838274</v>
      </c>
      <c r="U176">
        <f t="shared" si="55"/>
        <v>0.52554711967353096</v>
      </c>
      <c r="V176">
        <f>L176*(U176/100)</f>
        <v>7.7052864475275077E-3</v>
      </c>
    </row>
    <row r="177" spans="1:30">
      <c r="A177">
        <v>176</v>
      </c>
      <c r="B177" t="s">
        <v>22</v>
      </c>
      <c r="C177">
        <v>2</v>
      </c>
      <c r="D177" s="5" t="s">
        <v>30</v>
      </c>
      <c r="E177">
        <v>2</v>
      </c>
      <c r="F177" s="5" t="s">
        <v>27</v>
      </c>
      <c r="G177">
        <v>1.2875000000000001</v>
      </c>
      <c r="H177">
        <v>81.509399999999999</v>
      </c>
      <c r="I177">
        <f>H177-G177</f>
        <v>80.221900000000005</v>
      </c>
      <c r="J177">
        <v>5</v>
      </c>
      <c r="K177">
        <f t="shared" si="52"/>
        <v>57.157143750000003</v>
      </c>
      <c r="L177">
        <f t="shared" si="49"/>
        <v>1.4035323449835613</v>
      </c>
      <c r="M177" s="4"/>
      <c r="N177" s="4"/>
      <c r="O177" s="4"/>
      <c r="P177" s="4"/>
      <c r="Q177" s="4"/>
      <c r="R177" s="4"/>
      <c r="W177">
        <v>0</v>
      </c>
      <c r="X177">
        <v>0.48659999999999998</v>
      </c>
      <c r="Y177">
        <v>25.105799999999999</v>
      </c>
      <c r="Z177">
        <v>31.338699999999999</v>
      </c>
      <c r="AA177">
        <v>19.404399999999999</v>
      </c>
      <c r="AB177">
        <v>1.9119999999999999</v>
      </c>
      <c r="AC177">
        <v>0.1055</v>
      </c>
      <c r="AD177">
        <v>9.5399999999999999E-2</v>
      </c>
    </row>
    <row r="178" spans="1:30">
      <c r="A178">
        <v>177</v>
      </c>
      <c r="B178" t="s">
        <v>22</v>
      </c>
      <c r="C178">
        <v>2</v>
      </c>
      <c r="D178" t="s">
        <v>23</v>
      </c>
      <c r="E178">
        <v>3</v>
      </c>
      <c r="F178" s="5" t="s">
        <v>24</v>
      </c>
      <c r="G178">
        <v>1.2706999999999999</v>
      </c>
      <c r="H178">
        <v>78.753500000000003</v>
      </c>
      <c r="I178">
        <f>H178-G178</f>
        <v>77.482799999999997</v>
      </c>
      <c r="J178">
        <v>5</v>
      </c>
      <c r="K178">
        <f t="shared" si="52"/>
        <v>57.157143750000003</v>
      </c>
      <c r="L178">
        <f t="shared" si="49"/>
        <v>1.3556100762995176</v>
      </c>
      <c r="M178">
        <v>302</v>
      </c>
      <c r="N178">
        <v>38.887999999999998</v>
      </c>
      <c r="O178">
        <v>15.8352</v>
      </c>
      <c r="P178">
        <v>54.723199999999999</v>
      </c>
      <c r="Q178">
        <v>54.6387</v>
      </c>
      <c r="R178">
        <v>54.264299999999999</v>
      </c>
      <c r="S178">
        <f t="shared" ref="S178" si="98">R178-N178</f>
        <v>15.376300000000001</v>
      </c>
      <c r="T178">
        <f t="shared" ref="T178" si="99">((O178-S178)/O178)*100</f>
        <v>2.8979741335758304</v>
      </c>
      <c r="U178">
        <f t="shared" si="55"/>
        <v>0.52918965343033231</v>
      </c>
      <c r="V178">
        <f>L178*(U178/100)</f>
        <v>7.1737482646360802E-3</v>
      </c>
    </row>
    <row r="179" spans="1:30">
      <c r="A179">
        <v>178</v>
      </c>
      <c r="B179" t="s">
        <v>22</v>
      </c>
      <c r="C179">
        <v>2</v>
      </c>
      <c r="D179" t="s">
        <v>23</v>
      </c>
      <c r="E179">
        <v>3</v>
      </c>
      <c r="F179" s="5" t="s">
        <v>25</v>
      </c>
      <c r="G179">
        <v>1.2781</v>
      </c>
      <c r="H179">
        <v>80.741100000000003</v>
      </c>
      <c r="I179">
        <f>H179-G179</f>
        <v>79.463000000000008</v>
      </c>
      <c r="J179">
        <v>5</v>
      </c>
      <c r="K179">
        <f t="shared" si="52"/>
        <v>57.157143750000003</v>
      </c>
      <c r="L179">
        <f t="shared" si="49"/>
        <v>1.3902549145486298</v>
      </c>
      <c r="M179" s="4"/>
      <c r="N179" s="4"/>
      <c r="O179" s="4"/>
      <c r="P179" s="4"/>
      <c r="Q179" s="4"/>
      <c r="R179" s="4"/>
      <c r="W179">
        <v>0</v>
      </c>
      <c r="X179">
        <v>0.36880000000000002</v>
      </c>
      <c r="Y179">
        <v>13.9739</v>
      </c>
      <c r="Z179">
        <v>29.126899999999999</v>
      </c>
      <c r="AA179">
        <v>29.234300000000001</v>
      </c>
      <c r="AB179">
        <v>4.9539999999999997</v>
      </c>
      <c r="AC179">
        <v>0.68579999999999997</v>
      </c>
      <c r="AD179">
        <v>0.65090000000000003</v>
      </c>
    </row>
    <row r="180" spans="1:30">
      <c r="A180">
        <v>179</v>
      </c>
      <c r="B180" t="s">
        <v>22</v>
      </c>
      <c r="C180">
        <v>2</v>
      </c>
      <c r="D180" t="s">
        <v>23</v>
      </c>
      <c r="E180">
        <v>3</v>
      </c>
      <c r="F180" s="5" t="s">
        <v>26</v>
      </c>
      <c r="G180">
        <v>1.2684</v>
      </c>
      <c r="H180">
        <v>82.649799999999999</v>
      </c>
      <c r="I180">
        <f>H180-G180</f>
        <v>81.381399999999999</v>
      </c>
      <c r="J180">
        <v>5</v>
      </c>
      <c r="K180">
        <f t="shared" si="52"/>
        <v>57.157143750000003</v>
      </c>
      <c r="L180">
        <f t="shared" si="49"/>
        <v>1.423818523122055</v>
      </c>
      <c r="M180">
        <v>206</v>
      </c>
      <c r="N180">
        <v>41.217799999999997</v>
      </c>
      <c r="O180">
        <v>15.5587</v>
      </c>
      <c r="P180">
        <v>56.775799999999997</v>
      </c>
      <c r="Q180">
        <v>56.695500000000003</v>
      </c>
      <c r="R180">
        <v>56.341099999999997</v>
      </c>
      <c r="S180">
        <f t="shared" ref="S180" si="100">R180-N180</f>
        <v>15.1233</v>
      </c>
      <c r="T180">
        <f t="shared" ref="T180" si="101">((O180-S180)/O180)*100</f>
        <v>2.7984343164917349</v>
      </c>
      <c r="U180">
        <f t="shared" si="55"/>
        <v>0.48937372659669409</v>
      </c>
      <c r="V180">
        <f>L180*(U180/100)</f>
        <v>6.9677937665764134E-3</v>
      </c>
    </row>
    <row r="181" spans="1:30">
      <c r="A181">
        <v>180</v>
      </c>
      <c r="B181" t="s">
        <v>22</v>
      </c>
      <c r="C181">
        <v>2</v>
      </c>
      <c r="D181" t="s">
        <v>23</v>
      </c>
      <c r="E181">
        <v>3</v>
      </c>
      <c r="F181" s="5" t="s">
        <v>27</v>
      </c>
      <c r="G181">
        <v>1.2815000000000001</v>
      </c>
      <c r="H181">
        <v>83.950100000000006</v>
      </c>
      <c r="I181">
        <f>H181-G181</f>
        <v>82.668600000000012</v>
      </c>
      <c r="J181">
        <v>5</v>
      </c>
      <c r="K181">
        <f t="shared" si="52"/>
        <v>57.157143750000003</v>
      </c>
      <c r="L181">
        <f t="shared" si="49"/>
        <v>1.4463388926777856</v>
      </c>
      <c r="M181" s="4"/>
      <c r="N181" s="4"/>
      <c r="O181" s="4"/>
      <c r="P181" s="4"/>
      <c r="Q181" s="4"/>
      <c r="R181" s="4"/>
      <c r="W181">
        <v>0</v>
      </c>
      <c r="X181">
        <v>0.28399999999999997</v>
      </c>
      <c r="Y181">
        <v>21.122399999999999</v>
      </c>
      <c r="Z181">
        <v>32.590400000000002</v>
      </c>
      <c r="AA181">
        <v>25.071999999999999</v>
      </c>
      <c r="AB181">
        <v>2.9605999999999999</v>
      </c>
      <c r="AC181">
        <v>0.34050000000000002</v>
      </c>
      <c r="AD181">
        <v>0.2989</v>
      </c>
    </row>
    <row r="182" spans="1:30">
      <c r="A182">
        <v>181</v>
      </c>
      <c r="B182" t="s">
        <v>22</v>
      </c>
      <c r="C182">
        <v>2</v>
      </c>
      <c r="D182" t="s">
        <v>28</v>
      </c>
      <c r="E182">
        <v>3</v>
      </c>
      <c r="F182" s="5" t="s">
        <v>24</v>
      </c>
      <c r="G182">
        <v>1.2814000000000001</v>
      </c>
      <c r="H182">
        <v>73.251499999999993</v>
      </c>
      <c r="I182">
        <f>H182-G182</f>
        <v>71.970099999999988</v>
      </c>
      <c r="J182">
        <v>5</v>
      </c>
      <c r="K182">
        <f t="shared" si="52"/>
        <v>57.157143750000003</v>
      </c>
      <c r="L182">
        <f t="shared" si="49"/>
        <v>1.2591619398406342</v>
      </c>
      <c r="M182">
        <v>203</v>
      </c>
      <c r="N182">
        <v>40.571199999999997</v>
      </c>
      <c r="O182">
        <v>15.2956</v>
      </c>
      <c r="P182">
        <v>55.866</v>
      </c>
      <c r="Q182">
        <v>55.787100000000002</v>
      </c>
      <c r="R182">
        <v>55.347999999999999</v>
      </c>
      <c r="S182">
        <f t="shared" ref="S182" si="102">R182-N182</f>
        <v>14.776800000000001</v>
      </c>
      <c r="T182">
        <f t="shared" ref="T182" si="103">((O182-S182)/O182)*100</f>
        <v>3.3918251000287585</v>
      </c>
      <c r="U182">
        <f t="shared" si="55"/>
        <v>0.72673004001150343</v>
      </c>
      <c r="V182">
        <f>L182*(U182/100)</f>
        <v>9.1507080692134635E-3</v>
      </c>
    </row>
    <row r="183" spans="1:30">
      <c r="A183">
        <v>182</v>
      </c>
      <c r="B183" t="s">
        <v>22</v>
      </c>
      <c r="C183">
        <v>2</v>
      </c>
      <c r="D183" t="s">
        <v>28</v>
      </c>
      <c r="E183">
        <v>3</v>
      </c>
      <c r="F183" s="5" t="s">
        <v>25</v>
      </c>
      <c r="G183">
        <v>1.2850999999999999</v>
      </c>
      <c r="H183">
        <v>82.0471</v>
      </c>
      <c r="I183">
        <f>H183-G183</f>
        <v>80.762</v>
      </c>
      <c r="J183">
        <v>5</v>
      </c>
      <c r="K183">
        <f t="shared" si="52"/>
        <v>57.157143750000003</v>
      </c>
      <c r="L183">
        <f t="shared" si="49"/>
        <v>1.4129817324890381</v>
      </c>
      <c r="M183" s="4"/>
      <c r="N183" s="4"/>
      <c r="O183" s="4"/>
      <c r="P183" s="4"/>
      <c r="Q183" s="4"/>
      <c r="R183" s="4"/>
      <c r="W183">
        <v>0</v>
      </c>
      <c r="X183">
        <v>0.13719999999999999</v>
      </c>
      <c r="Y183">
        <v>11.9665</v>
      </c>
      <c r="Z183">
        <v>28.779299999999999</v>
      </c>
      <c r="AA183">
        <v>30.454599999999999</v>
      </c>
      <c r="AB183">
        <v>6.4837999999999996</v>
      </c>
      <c r="AC183">
        <v>1.0149999999999999</v>
      </c>
      <c r="AD183">
        <v>0.90200000000000002</v>
      </c>
    </row>
    <row r="184" spans="1:30">
      <c r="A184">
        <v>183</v>
      </c>
      <c r="B184" t="s">
        <v>22</v>
      </c>
      <c r="C184">
        <v>2</v>
      </c>
      <c r="D184" t="s">
        <v>28</v>
      </c>
      <c r="E184">
        <v>3</v>
      </c>
      <c r="F184" s="5" t="s">
        <v>26</v>
      </c>
      <c r="G184">
        <v>1.2685999999999999</v>
      </c>
      <c r="H184">
        <v>79.3172</v>
      </c>
      <c r="I184">
        <f>H184-G184</f>
        <v>78.048599999999993</v>
      </c>
      <c r="J184">
        <v>5</v>
      </c>
      <c r="K184">
        <f t="shared" si="52"/>
        <v>57.157143750000003</v>
      </c>
      <c r="L184">
        <f t="shared" si="49"/>
        <v>1.365509101388573</v>
      </c>
      <c r="M184">
        <v>100</v>
      </c>
      <c r="N184">
        <v>40.508099999999999</v>
      </c>
      <c r="O184">
        <v>15.5443</v>
      </c>
      <c r="P184">
        <v>56.0503</v>
      </c>
      <c r="Q184">
        <v>55.975099999999998</v>
      </c>
      <c r="R184">
        <v>55.5822</v>
      </c>
      <c r="S184">
        <f t="shared" ref="S184" si="104">R184-N184</f>
        <v>15.074100000000001</v>
      </c>
      <c r="T184">
        <f t="shared" ref="T184" si="105">((O184-S184)/O184)*100</f>
        <v>3.024903019113105</v>
      </c>
      <c r="U184">
        <f t="shared" si="55"/>
        <v>0.57996120764524217</v>
      </c>
      <c r="V184">
        <f>L184*(U184/100)</f>
        <v>7.9194230749188611E-3</v>
      </c>
    </row>
    <row r="185" spans="1:30">
      <c r="A185">
        <v>184</v>
      </c>
      <c r="B185" t="s">
        <v>22</v>
      </c>
      <c r="C185">
        <v>2</v>
      </c>
      <c r="D185" t="s">
        <v>28</v>
      </c>
      <c r="E185">
        <v>3</v>
      </c>
      <c r="F185" s="5" t="s">
        <v>27</v>
      </c>
      <c r="G185">
        <v>1.2685999999999999</v>
      </c>
      <c r="H185">
        <v>86.259500000000003</v>
      </c>
      <c r="I185">
        <f>H185-G185</f>
        <v>84.990899999999996</v>
      </c>
      <c r="J185">
        <v>5</v>
      </c>
      <c r="K185">
        <f t="shared" si="52"/>
        <v>57.157143750000003</v>
      </c>
      <c r="L185">
        <f t="shared" si="49"/>
        <v>1.4869689845199794</v>
      </c>
      <c r="M185" s="4"/>
      <c r="N185" s="4"/>
      <c r="O185" s="4"/>
      <c r="P185" s="4"/>
      <c r="Q185" s="4"/>
      <c r="R185" s="4"/>
      <c r="W185">
        <v>0</v>
      </c>
      <c r="X185">
        <v>0.47260000000000002</v>
      </c>
      <c r="Y185">
        <v>17.857600000000001</v>
      </c>
      <c r="Z185">
        <v>31.209</v>
      </c>
      <c r="AA185">
        <v>28.212900000000001</v>
      </c>
      <c r="AB185">
        <v>5.4596</v>
      </c>
      <c r="AC185">
        <v>0.81510000000000005</v>
      </c>
      <c r="AD185">
        <v>0.64810000000000001</v>
      </c>
    </row>
    <row r="186" spans="1:30">
      <c r="A186">
        <v>185</v>
      </c>
      <c r="B186" t="s">
        <v>22</v>
      </c>
      <c r="C186">
        <v>2</v>
      </c>
      <c r="D186" t="s">
        <v>29</v>
      </c>
      <c r="E186">
        <v>3</v>
      </c>
      <c r="F186" s="5" t="s">
        <v>24</v>
      </c>
      <c r="G186">
        <v>1.2703</v>
      </c>
      <c r="H186">
        <v>76.884500000000003</v>
      </c>
      <c r="I186">
        <f>H186-G186</f>
        <v>75.614199999999997</v>
      </c>
      <c r="J186">
        <v>5</v>
      </c>
      <c r="K186">
        <f t="shared" si="52"/>
        <v>57.157143750000003</v>
      </c>
      <c r="L186">
        <f t="shared" si="49"/>
        <v>1.3229177498919371</v>
      </c>
      <c r="M186">
        <v>308</v>
      </c>
      <c r="N186">
        <v>39.237000000000002</v>
      </c>
      <c r="O186">
        <v>16.0321</v>
      </c>
      <c r="P186">
        <v>55.268000000000001</v>
      </c>
      <c r="Q186">
        <v>55.190899999999999</v>
      </c>
      <c r="R186">
        <v>54.804499999999997</v>
      </c>
      <c r="S186">
        <f t="shared" ref="S186" si="106">R186-N186</f>
        <v>15.567499999999995</v>
      </c>
      <c r="T186">
        <f t="shared" ref="T186" si="107">((O186-S186)/O186)*100</f>
        <v>2.8979360158681917</v>
      </c>
      <c r="U186">
        <f t="shared" si="55"/>
        <v>0.52917440634727664</v>
      </c>
      <c r="V186">
        <f>L186*(U186/100)</f>
        <v>7.0005421494534082E-3</v>
      </c>
    </row>
    <row r="187" spans="1:30">
      <c r="A187">
        <v>186</v>
      </c>
      <c r="B187" t="s">
        <v>22</v>
      </c>
      <c r="C187">
        <v>2</v>
      </c>
      <c r="D187" s="5" t="s">
        <v>29</v>
      </c>
      <c r="E187">
        <v>3</v>
      </c>
      <c r="F187" s="5" t="s">
        <v>25</v>
      </c>
      <c r="G187">
        <v>1.2749999999999999</v>
      </c>
      <c r="H187">
        <v>77.550799999999995</v>
      </c>
      <c r="I187">
        <f>H187-G187</f>
        <v>76.27579999999999</v>
      </c>
      <c r="J187">
        <v>5</v>
      </c>
      <c r="K187">
        <f t="shared" si="52"/>
        <v>57.157143750000003</v>
      </c>
      <c r="L187">
        <f t="shared" si="49"/>
        <v>1.3344928559345652</v>
      </c>
      <c r="M187" s="4"/>
      <c r="N187" s="4"/>
      <c r="O187" s="4"/>
      <c r="P187" s="4"/>
      <c r="Q187" s="4"/>
      <c r="R187" s="4"/>
      <c r="W187">
        <v>0</v>
      </c>
      <c r="X187">
        <v>2.5236000000000001</v>
      </c>
      <c r="Y187">
        <v>34.212699999999998</v>
      </c>
      <c r="Z187">
        <v>25.3612</v>
      </c>
      <c r="AA187">
        <v>10.597099999999999</v>
      </c>
      <c r="AB187">
        <v>0.90500000000000003</v>
      </c>
      <c r="AC187">
        <v>8.4599999999999995E-2</v>
      </c>
      <c r="AD187">
        <v>0.12379999999999999</v>
      </c>
    </row>
    <row r="188" spans="1:30">
      <c r="A188">
        <v>187</v>
      </c>
      <c r="B188" t="s">
        <v>22</v>
      </c>
      <c r="C188">
        <v>2</v>
      </c>
      <c r="D188" t="s">
        <v>29</v>
      </c>
      <c r="E188">
        <v>3</v>
      </c>
      <c r="F188" s="5" t="s">
        <v>26</v>
      </c>
      <c r="G188">
        <v>1.3006</v>
      </c>
      <c r="H188">
        <v>83.191000000000003</v>
      </c>
      <c r="I188">
        <f>H188-G188</f>
        <v>81.8904</v>
      </c>
      <c r="J188">
        <v>5</v>
      </c>
      <c r="K188">
        <f t="shared" si="52"/>
        <v>57.157143750000003</v>
      </c>
      <c r="L188">
        <f t="shared" si="49"/>
        <v>1.4327237966645245</v>
      </c>
      <c r="M188">
        <v>16</v>
      </c>
      <c r="N188">
        <v>42.152000000000001</v>
      </c>
      <c r="O188">
        <v>15.8896</v>
      </c>
      <c r="P188">
        <v>58.041400000000003</v>
      </c>
      <c r="Q188">
        <v>57.967599999999997</v>
      </c>
      <c r="R188">
        <v>57.610300000000002</v>
      </c>
      <c r="S188">
        <f t="shared" ref="S188" si="108">R188-N188</f>
        <v>15.458300000000001</v>
      </c>
      <c r="T188">
        <f t="shared" ref="T188" si="109">((O188-S188)/O188)*100</f>
        <v>2.7143540428959727</v>
      </c>
      <c r="U188">
        <f t="shared" si="55"/>
        <v>0.45574161715838912</v>
      </c>
      <c r="V188">
        <f>L188*(U188/100)</f>
        <v>6.5295186003319749E-3</v>
      </c>
    </row>
    <row r="189" spans="1:30">
      <c r="A189">
        <v>188</v>
      </c>
      <c r="B189" t="s">
        <v>22</v>
      </c>
      <c r="C189">
        <v>2</v>
      </c>
      <c r="D189" s="5" t="s">
        <v>29</v>
      </c>
      <c r="E189">
        <v>3</v>
      </c>
      <c r="F189" s="5" t="s">
        <v>27</v>
      </c>
      <c r="G189">
        <v>1.284</v>
      </c>
      <c r="H189">
        <v>74.481899999999996</v>
      </c>
      <c r="I189">
        <f>H189-G189</f>
        <v>73.19789999999999</v>
      </c>
      <c r="J189">
        <v>5</v>
      </c>
      <c r="K189">
        <f t="shared" si="52"/>
        <v>57.157143750000003</v>
      </c>
      <c r="L189">
        <f t="shared" si="49"/>
        <v>1.280643069222646</v>
      </c>
      <c r="M189" s="4"/>
      <c r="N189" s="4"/>
      <c r="O189" s="4"/>
      <c r="P189" s="4"/>
      <c r="R189" s="4"/>
      <c r="W189">
        <v>0</v>
      </c>
      <c r="X189">
        <v>1.2218</v>
      </c>
      <c r="Y189">
        <v>41.169899999999998</v>
      </c>
      <c r="Z189">
        <v>23.216100000000001</v>
      </c>
      <c r="AA189">
        <v>6.4413999999999998</v>
      </c>
      <c r="AB189">
        <v>0.3478</v>
      </c>
      <c r="AC189">
        <v>0.48270000000000002</v>
      </c>
      <c r="AD189">
        <v>6.6000000000000003E-2</v>
      </c>
    </row>
    <row r="190" spans="1:30">
      <c r="A190">
        <v>189</v>
      </c>
      <c r="B190" t="s">
        <v>22</v>
      </c>
      <c r="C190">
        <v>2</v>
      </c>
      <c r="D190" t="s">
        <v>30</v>
      </c>
      <c r="E190">
        <v>3</v>
      </c>
      <c r="F190" s="5" t="s">
        <v>24</v>
      </c>
      <c r="G190">
        <v>1.2718</v>
      </c>
      <c r="H190">
        <v>80.568600000000004</v>
      </c>
      <c r="I190">
        <f>H190-G190</f>
        <v>79.296800000000005</v>
      </c>
      <c r="J190">
        <v>5</v>
      </c>
      <c r="K190">
        <f t="shared" si="52"/>
        <v>57.157143750000003</v>
      </c>
      <c r="L190">
        <f t="shared" si="49"/>
        <v>1.3873471415373166</v>
      </c>
      <c r="M190">
        <v>202</v>
      </c>
      <c r="N190">
        <v>39.373699999999999</v>
      </c>
      <c r="O190">
        <v>15.1165</v>
      </c>
      <c r="P190">
        <v>54.489600000000003</v>
      </c>
      <c r="Q190" s="4">
        <v>54.418599999999998</v>
      </c>
      <c r="R190">
        <v>54.078899999999997</v>
      </c>
      <c r="S190">
        <f t="shared" ref="S190" si="110">R190-N190</f>
        <v>14.705199999999998</v>
      </c>
      <c r="T190">
        <f t="shared" ref="T190" si="111">((O190-S190)/O190)*100</f>
        <v>2.7208679257764854</v>
      </c>
      <c r="U190">
        <f t="shared" si="55"/>
        <v>0.45834717031059424</v>
      </c>
      <c r="V190">
        <f>L190*(U190/100)</f>
        <v>6.3588663656212064E-3</v>
      </c>
    </row>
    <row r="191" spans="1:30">
      <c r="A191">
        <v>190</v>
      </c>
      <c r="B191" t="s">
        <v>22</v>
      </c>
      <c r="C191">
        <v>2</v>
      </c>
      <c r="D191" s="5" t="s">
        <v>30</v>
      </c>
      <c r="E191">
        <v>3</v>
      </c>
      <c r="F191" s="5" t="s">
        <v>25</v>
      </c>
      <c r="G191">
        <v>1.2809999999999999</v>
      </c>
      <c r="H191">
        <v>78.447699999999998</v>
      </c>
      <c r="I191">
        <f>H191-G191</f>
        <v>77.166699999999992</v>
      </c>
      <c r="J191">
        <v>5</v>
      </c>
      <c r="K191">
        <f t="shared" si="52"/>
        <v>57.157143750000003</v>
      </c>
      <c r="L191">
        <f t="shared" si="49"/>
        <v>1.3500797089777599</v>
      </c>
      <c r="M191" s="4"/>
      <c r="N191" s="4"/>
      <c r="O191" s="4"/>
      <c r="P191" s="4"/>
      <c r="Q191" s="4"/>
      <c r="R191" s="4"/>
      <c r="W191">
        <v>0</v>
      </c>
      <c r="X191">
        <v>1.7142999999999999</v>
      </c>
      <c r="Y191">
        <v>41.802</v>
      </c>
      <c r="Z191">
        <v>25.077100000000002</v>
      </c>
      <c r="AA191">
        <v>7.4512</v>
      </c>
      <c r="AB191">
        <v>0.48039999999999999</v>
      </c>
      <c r="AC191">
        <v>4.87E-2</v>
      </c>
      <c r="AD191">
        <v>5.4800000000000001E-2</v>
      </c>
    </row>
    <row r="192" spans="1:30">
      <c r="A192">
        <v>191</v>
      </c>
      <c r="B192" t="s">
        <v>22</v>
      </c>
      <c r="C192">
        <v>2</v>
      </c>
      <c r="D192" t="s">
        <v>30</v>
      </c>
      <c r="E192">
        <v>3</v>
      </c>
      <c r="F192" s="5" t="s">
        <v>26</v>
      </c>
      <c r="G192">
        <v>1.2721</v>
      </c>
      <c r="H192">
        <v>86.343299999999999</v>
      </c>
      <c r="I192">
        <f>H192-G192</f>
        <v>85.071200000000005</v>
      </c>
      <c r="J192">
        <v>5</v>
      </c>
      <c r="K192">
        <f t="shared" si="52"/>
        <v>57.157143750000003</v>
      </c>
      <c r="L192">
        <f t="shared" si="49"/>
        <v>1.4883738832733397</v>
      </c>
      <c r="M192">
        <v>103</v>
      </c>
      <c r="N192">
        <v>38.909500000000001</v>
      </c>
      <c r="O192">
        <v>15.6233</v>
      </c>
      <c r="P192">
        <v>54.5321</v>
      </c>
      <c r="Q192">
        <v>54.4694</v>
      </c>
      <c r="R192">
        <v>54.127600000000001</v>
      </c>
      <c r="S192">
        <f t="shared" ref="S192" si="112">R192-N192</f>
        <v>15.2181</v>
      </c>
      <c r="T192">
        <f t="shared" ref="T192" si="113">((O192-S192)/O192)*100</f>
        <v>2.5935621795651409</v>
      </c>
      <c r="U192">
        <f t="shared" si="55"/>
        <v>0.40742487182605636</v>
      </c>
      <c r="V192">
        <f>L192*(U192/100)</f>
        <v>6.0640053862189023E-3</v>
      </c>
    </row>
    <row r="193" spans="1:30">
      <c r="A193">
        <v>192</v>
      </c>
      <c r="B193" t="s">
        <v>22</v>
      </c>
      <c r="C193">
        <v>2</v>
      </c>
      <c r="D193" s="5" t="s">
        <v>30</v>
      </c>
      <c r="E193">
        <v>3</v>
      </c>
      <c r="F193" s="5" t="s">
        <v>27</v>
      </c>
      <c r="G193">
        <v>1.2806</v>
      </c>
      <c r="H193">
        <v>88.382099999999994</v>
      </c>
      <c r="I193">
        <f>H193-G193</f>
        <v>87.101499999999987</v>
      </c>
      <c r="J193">
        <v>5</v>
      </c>
      <c r="K193">
        <f t="shared" si="52"/>
        <v>57.157143750000003</v>
      </c>
      <c r="L193">
        <f t="shared" si="49"/>
        <v>1.5238952523760423</v>
      </c>
      <c r="M193" s="4"/>
      <c r="N193" s="4"/>
      <c r="O193" s="4"/>
      <c r="P193" s="4"/>
      <c r="Q193" s="4"/>
      <c r="R193" s="4"/>
      <c r="W193">
        <f>8.1054-6.9714</f>
        <v>1.1339999999999995</v>
      </c>
      <c r="X193">
        <f>8.8846-6.9714</f>
        <v>1.9132000000000007</v>
      </c>
      <c r="Y193">
        <f>58.3219-6.9714</f>
        <v>51.350499999999997</v>
      </c>
      <c r="Z193">
        <f>31.9056-6.9714</f>
        <v>24.934200000000001</v>
      </c>
      <c r="AA193">
        <f>14.1049-6.9714</f>
        <v>7.1335000000000006</v>
      </c>
      <c r="AB193">
        <f>7.3909-6.9714</f>
        <v>0.41950000000000021</v>
      </c>
      <c r="AC193">
        <f>7.0225-6.9714</f>
        <v>5.1099999999999923E-2</v>
      </c>
      <c r="AD193">
        <f>7.05784-6.9714</f>
        <v>8.6439999999999628E-2</v>
      </c>
    </row>
    <row r="194" spans="1:30">
      <c r="A194">
        <v>193</v>
      </c>
      <c r="B194" t="s">
        <v>32</v>
      </c>
      <c r="C194">
        <v>2</v>
      </c>
      <c r="D194" t="s">
        <v>23</v>
      </c>
      <c r="E194">
        <v>1</v>
      </c>
      <c r="F194" t="s">
        <v>24</v>
      </c>
      <c r="G194">
        <v>1.2910999999999999</v>
      </c>
      <c r="H194">
        <v>76.096800000000002</v>
      </c>
      <c r="I194">
        <f>H194-G194</f>
        <v>74.805700000000002</v>
      </c>
      <c r="J194">
        <v>5</v>
      </c>
      <c r="K194">
        <f t="shared" si="52"/>
        <v>57.157143750000003</v>
      </c>
      <c r="L194">
        <f t="shared" ref="L194:L257" si="114">I194/K194</f>
        <v>1.308772536416325</v>
      </c>
      <c r="M194">
        <v>203</v>
      </c>
      <c r="N194">
        <v>40.569800000000001</v>
      </c>
      <c r="O194">
        <v>15.876099999999999</v>
      </c>
      <c r="P194">
        <f>O194+N194</f>
        <v>56.445900000000002</v>
      </c>
      <c r="Q194">
        <v>56.405000000000001</v>
      </c>
      <c r="R194">
        <v>55.982199999999999</v>
      </c>
      <c r="S194">
        <f t="shared" ref="S194" si="115">R194-N194</f>
        <v>15.412399999999998</v>
      </c>
      <c r="T194">
        <f t="shared" ref="T194" si="116">((O194-S194)/O194)*100</f>
        <v>2.920742499732309</v>
      </c>
      <c r="U194">
        <f t="shared" si="55"/>
        <v>0.53829699989292357</v>
      </c>
      <c r="V194">
        <f>L194*(U194/100)</f>
        <v>7.0450832989515976E-3</v>
      </c>
    </row>
    <row r="195" spans="1:30">
      <c r="A195">
        <v>194</v>
      </c>
      <c r="B195" t="s">
        <v>32</v>
      </c>
      <c r="C195">
        <v>2</v>
      </c>
      <c r="D195" t="s">
        <v>23</v>
      </c>
      <c r="E195">
        <v>1</v>
      </c>
      <c r="F195" t="s">
        <v>25</v>
      </c>
      <c r="G195">
        <v>1.2796000000000001</v>
      </c>
      <c r="H195">
        <v>68.540800000000004</v>
      </c>
      <c r="I195">
        <f>H195-G195</f>
        <v>67.261200000000002</v>
      </c>
      <c r="J195">
        <v>5</v>
      </c>
      <c r="K195">
        <f t="shared" ref="K195:K258" si="117">0.25*3.15*((7.62/2)^2)*J195</f>
        <v>57.157143750000003</v>
      </c>
      <c r="L195">
        <f t="shared" si="114"/>
        <v>1.1767767874160087</v>
      </c>
      <c r="M195" s="4"/>
      <c r="N195" s="4"/>
      <c r="O195" s="4"/>
      <c r="P195" s="4"/>
      <c r="Q195" s="4"/>
      <c r="R195" s="4"/>
      <c r="W195">
        <v>0</v>
      </c>
      <c r="X195">
        <v>1.0328999999999999</v>
      </c>
      <c r="Y195">
        <v>8.1927000000000003</v>
      </c>
      <c r="Z195">
        <v>15.8073</v>
      </c>
      <c r="AA195">
        <v>30.0518</v>
      </c>
      <c r="AB195">
        <v>6.3258999999999999</v>
      </c>
      <c r="AC195">
        <v>1.5723</v>
      </c>
      <c r="AD195">
        <v>3.4508999999999999</v>
      </c>
    </row>
    <row r="196" spans="1:30">
      <c r="A196">
        <v>195</v>
      </c>
      <c r="B196" t="s">
        <v>32</v>
      </c>
      <c r="C196">
        <v>2</v>
      </c>
      <c r="D196" t="s">
        <v>23</v>
      </c>
      <c r="E196">
        <v>1</v>
      </c>
      <c r="F196" t="s">
        <v>26</v>
      </c>
      <c r="G196">
        <v>1.2807999999999999</v>
      </c>
      <c r="H196">
        <v>73.074399999999997</v>
      </c>
      <c r="I196">
        <f>H196-G196</f>
        <v>71.793599999999998</v>
      </c>
      <c r="J196">
        <v>5</v>
      </c>
      <c r="K196">
        <f t="shared" si="117"/>
        <v>57.157143750000003</v>
      </c>
      <c r="L196">
        <f t="shared" si="114"/>
        <v>1.2560739618833734</v>
      </c>
      <c r="M196">
        <v>202</v>
      </c>
      <c r="N196">
        <v>39.372599999999998</v>
      </c>
      <c r="O196">
        <v>15.822800000000001</v>
      </c>
      <c r="P196">
        <f>O196+N196</f>
        <v>55.195399999999999</v>
      </c>
      <c r="Q196">
        <v>55.154800000000002</v>
      </c>
      <c r="R196">
        <v>54.746200000000002</v>
      </c>
      <c r="S196">
        <f t="shared" ref="S196" si="118">R196-N196</f>
        <v>15.373600000000003</v>
      </c>
      <c r="T196">
        <f t="shared" ref="T196" si="119">((O196-S196)/O196)*100</f>
        <v>2.8389412746163609</v>
      </c>
      <c r="U196">
        <f t="shared" ref="U196:U258" si="120">-0.63+0.4*T196</f>
        <v>0.50557650984654445</v>
      </c>
      <c r="V196">
        <f>L196*(U196/100)</f>
        <v>6.3504148975811739E-3</v>
      </c>
    </row>
    <row r="197" spans="1:30">
      <c r="A197">
        <v>196</v>
      </c>
      <c r="B197" t="s">
        <v>32</v>
      </c>
      <c r="C197">
        <v>2</v>
      </c>
      <c r="D197" t="s">
        <v>23</v>
      </c>
      <c r="E197">
        <v>1</v>
      </c>
      <c r="F197" t="s">
        <v>27</v>
      </c>
      <c r="G197">
        <v>1.2769999999999999</v>
      </c>
      <c r="H197">
        <v>79.476900000000001</v>
      </c>
      <c r="I197">
        <f>H197-G197</f>
        <v>78.1999</v>
      </c>
      <c r="J197">
        <v>5</v>
      </c>
      <c r="K197">
        <f t="shared" si="117"/>
        <v>57.157143750000003</v>
      </c>
      <c r="L197">
        <f t="shared" si="114"/>
        <v>1.3681561895751657</v>
      </c>
      <c r="M197" s="4"/>
      <c r="N197" s="4"/>
      <c r="O197" s="4"/>
      <c r="P197" s="4"/>
      <c r="Q197" s="4"/>
      <c r="R197" s="4"/>
      <c r="W197">
        <v>0</v>
      </c>
      <c r="X197">
        <v>0.99070000000000003</v>
      </c>
      <c r="Y197">
        <v>7.9555999999999996</v>
      </c>
      <c r="Z197">
        <v>17.941199999999998</v>
      </c>
      <c r="AA197">
        <v>36.607399999999998</v>
      </c>
      <c r="AB197">
        <v>7.4161999999999999</v>
      </c>
      <c r="AC197">
        <v>1.7479</v>
      </c>
      <c r="AD197">
        <v>4.3369</v>
      </c>
    </row>
    <row r="198" spans="1:30">
      <c r="A198">
        <v>197</v>
      </c>
      <c r="B198" t="s">
        <v>32</v>
      </c>
      <c r="C198">
        <v>2</v>
      </c>
      <c r="D198" t="s">
        <v>28</v>
      </c>
      <c r="E198">
        <v>1</v>
      </c>
      <c r="F198" t="s">
        <v>24</v>
      </c>
      <c r="G198">
        <v>1.2721</v>
      </c>
      <c r="H198">
        <v>67.278899999999993</v>
      </c>
      <c r="I198">
        <f>H198-G198</f>
        <v>66.006799999999998</v>
      </c>
      <c r="J198">
        <v>5</v>
      </c>
      <c r="K198">
        <f t="shared" si="117"/>
        <v>57.157143750000003</v>
      </c>
      <c r="L198">
        <f t="shared" si="114"/>
        <v>1.1548302743871801</v>
      </c>
      <c r="M198">
        <v>100</v>
      </c>
      <c r="N198">
        <v>40.506900000000002</v>
      </c>
      <c r="O198">
        <v>15.466799999999999</v>
      </c>
      <c r="P198">
        <f>O198+N198</f>
        <v>55.973700000000001</v>
      </c>
      <c r="Q198">
        <v>55.931100000000001</v>
      </c>
      <c r="R198">
        <v>55.398299999999999</v>
      </c>
      <c r="S198">
        <f t="shared" ref="S198" si="121">R198-N198</f>
        <v>14.891399999999997</v>
      </c>
      <c r="T198">
        <f t="shared" ref="T198" si="122">((O198-S198)/O198)*100</f>
        <v>3.7202265497711351</v>
      </c>
      <c r="U198">
        <f t="shared" si="120"/>
        <v>0.85809061990845403</v>
      </c>
      <c r="V198">
        <f>L198*(U198/100)</f>
        <v>9.9094902603794541E-3</v>
      </c>
    </row>
    <row r="199" spans="1:30">
      <c r="A199">
        <v>198</v>
      </c>
      <c r="B199" t="s">
        <v>32</v>
      </c>
      <c r="C199">
        <v>2</v>
      </c>
      <c r="D199" t="s">
        <v>28</v>
      </c>
      <c r="E199">
        <v>1</v>
      </c>
      <c r="F199" t="s">
        <v>25</v>
      </c>
      <c r="G199">
        <v>1.2694000000000001</v>
      </c>
      <c r="H199">
        <v>76.995199999999997</v>
      </c>
      <c r="I199">
        <f>H199-G199</f>
        <v>75.725799999999992</v>
      </c>
      <c r="J199">
        <v>5</v>
      </c>
      <c r="K199">
        <f t="shared" si="117"/>
        <v>57.157143750000003</v>
      </c>
      <c r="L199">
        <f t="shared" si="114"/>
        <v>1.3248702617334687</v>
      </c>
      <c r="M199" s="4"/>
      <c r="N199" s="4"/>
      <c r="O199" s="4"/>
      <c r="P199" s="4"/>
      <c r="Q199" s="4"/>
      <c r="R199" s="4"/>
      <c r="W199">
        <v>0</v>
      </c>
      <c r="X199">
        <v>1.2870999999999999</v>
      </c>
      <c r="Y199">
        <v>8.0213000000000001</v>
      </c>
      <c r="Z199">
        <v>16.142900000000001</v>
      </c>
      <c r="AA199">
        <v>35.145499999999998</v>
      </c>
      <c r="AB199">
        <v>6.5658000000000003</v>
      </c>
      <c r="AC199">
        <v>1.5044999999999999</v>
      </c>
      <c r="AD199">
        <v>4.4081000000000001</v>
      </c>
    </row>
    <row r="200" spans="1:30">
      <c r="A200">
        <v>199</v>
      </c>
      <c r="B200" t="s">
        <v>32</v>
      </c>
      <c r="C200">
        <v>2</v>
      </c>
      <c r="D200" t="s">
        <v>28</v>
      </c>
      <c r="E200">
        <v>1</v>
      </c>
      <c r="F200" t="s">
        <v>26</v>
      </c>
      <c r="G200">
        <v>1.2657</v>
      </c>
      <c r="H200">
        <v>93.957599999999999</v>
      </c>
      <c r="I200">
        <f>H200-G200</f>
        <v>92.691900000000004</v>
      </c>
      <c r="J200">
        <v>5</v>
      </c>
      <c r="K200">
        <f t="shared" si="117"/>
        <v>57.157143750000003</v>
      </c>
      <c r="L200">
        <f t="shared" si="114"/>
        <v>1.6217027989611534</v>
      </c>
      <c r="M200">
        <v>103</v>
      </c>
      <c r="N200">
        <v>38.907899999999998</v>
      </c>
      <c r="O200">
        <v>15.6717</v>
      </c>
      <c r="P200">
        <f>O200+N200</f>
        <v>54.579599999999999</v>
      </c>
      <c r="Q200">
        <v>54.540799999999997</v>
      </c>
      <c r="R200">
        <v>54.124200000000002</v>
      </c>
      <c r="S200">
        <f t="shared" ref="S200" si="123">R200-N200</f>
        <v>15.216300000000004</v>
      </c>
      <c r="T200">
        <f t="shared" ref="T200" si="124">((O200-S200)/O200)*100</f>
        <v>2.9058749210359793</v>
      </c>
      <c r="U200">
        <f t="shared" si="120"/>
        <v>0.53234996841439186</v>
      </c>
      <c r="V200">
        <f>L200*(U200/100)</f>
        <v>8.6331343380450093E-3</v>
      </c>
    </row>
    <row r="201" spans="1:30">
      <c r="A201">
        <v>200</v>
      </c>
      <c r="B201" t="s">
        <v>32</v>
      </c>
      <c r="C201">
        <v>2</v>
      </c>
      <c r="D201" t="s">
        <v>28</v>
      </c>
      <c r="E201">
        <v>1</v>
      </c>
      <c r="F201" t="s">
        <v>27</v>
      </c>
      <c r="G201">
        <v>1.2831999999999999</v>
      </c>
      <c r="H201">
        <v>85.8065</v>
      </c>
      <c r="I201">
        <f>H201-G201</f>
        <v>84.523300000000006</v>
      </c>
      <c r="J201">
        <v>5</v>
      </c>
      <c r="K201">
        <f t="shared" si="117"/>
        <v>57.157143750000003</v>
      </c>
      <c r="L201">
        <f t="shared" si="114"/>
        <v>1.4787880298864655</v>
      </c>
      <c r="M201" s="4"/>
      <c r="N201" s="4"/>
      <c r="O201" s="4"/>
      <c r="P201" s="4"/>
      <c r="Q201" s="4"/>
      <c r="R201" s="4"/>
      <c r="W201">
        <v>0</v>
      </c>
      <c r="X201">
        <v>0.37309999999999999</v>
      </c>
      <c r="Y201">
        <v>5.6921999999999997</v>
      </c>
      <c r="Z201">
        <v>17.299900000000001</v>
      </c>
      <c r="AA201">
        <v>44.909199999999998</v>
      </c>
      <c r="AB201">
        <v>9.1427999999999994</v>
      </c>
      <c r="AC201">
        <v>1.7821</v>
      </c>
      <c r="AD201">
        <v>4.7866</v>
      </c>
    </row>
    <row r="202" spans="1:30">
      <c r="A202">
        <v>201</v>
      </c>
      <c r="B202" t="s">
        <v>32</v>
      </c>
      <c r="C202">
        <v>2</v>
      </c>
      <c r="D202" t="s">
        <v>29</v>
      </c>
      <c r="E202">
        <v>1</v>
      </c>
      <c r="F202" t="s">
        <v>24</v>
      </c>
      <c r="G202">
        <v>1.2735000000000001</v>
      </c>
      <c r="H202">
        <v>85.774199999999993</v>
      </c>
      <c r="I202">
        <f>H202-G202</f>
        <v>84.500699999999995</v>
      </c>
      <c r="J202">
        <v>5</v>
      </c>
      <c r="K202">
        <f t="shared" si="117"/>
        <v>57.157143750000003</v>
      </c>
      <c r="L202">
        <f t="shared" si="114"/>
        <v>1.4783926287429292</v>
      </c>
      <c r="M202">
        <v>120</v>
      </c>
      <c r="N202">
        <v>37.716200000000001</v>
      </c>
      <c r="O202">
        <v>15.7713</v>
      </c>
      <c r="P202">
        <f>O202+N202</f>
        <v>53.487499999999997</v>
      </c>
      <c r="Q202">
        <v>53.447800000000001</v>
      </c>
      <c r="R202">
        <v>53.001100000000001</v>
      </c>
      <c r="S202">
        <f t="shared" ref="S202" si="125">R202-N202</f>
        <v>15.2849</v>
      </c>
      <c r="T202">
        <f t="shared" ref="T202" si="126">((O202-S202)/O202)*100</f>
        <v>3.0840831129963902</v>
      </c>
      <c r="U202">
        <f t="shared" si="120"/>
        <v>0.6036332451985561</v>
      </c>
      <c r="V202">
        <f>L202*(U202/100)</f>
        <v>8.9240694016571847E-3</v>
      </c>
    </row>
    <row r="203" spans="1:30">
      <c r="A203">
        <v>202</v>
      </c>
      <c r="B203" t="s">
        <v>32</v>
      </c>
      <c r="C203">
        <v>2</v>
      </c>
      <c r="D203" s="5" t="s">
        <v>29</v>
      </c>
      <c r="E203">
        <v>1</v>
      </c>
      <c r="F203" t="s">
        <v>25</v>
      </c>
      <c r="G203">
        <v>1.2842</v>
      </c>
      <c r="H203">
        <v>95.408699999999996</v>
      </c>
      <c r="I203">
        <f>H203-G203</f>
        <v>94.124499999999998</v>
      </c>
      <c r="J203">
        <v>5</v>
      </c>
      <c r="K203">
        <f t="shared" si="117"/>
        <v>57.157143750000003</v>
      </c>
      <c r="L203">
        <f t="shared" si="114"/>
        <v>1.6467670325111372</v>
      </c>
      <c r="M203" s="4"/>
      <c r="N203" s="4"/>
      <c r="O203" s="4"/>
      <c r="P203" s="4"/>
      <c r="Q203" s="4"/>
      <c r="R203" s="4"/>
      <c r="W203">
        <v>2.5059</v>
      </c>
      <c r="X203">
        <v>4.5416999999999996</v>
      </c>
      <c r="Y203">
        <v>19.154599999999999</v>
      </c>
      <c r="Z203">
        <v>23.592500000000001</v>
      </c>
      <c r="AA203">
        <v>28.476600000000001</v>
      </c>
      <c r="AB203">
        <v>7.1287000000000003</v>
      </c>
      <c r="AC203">
        <v>2.2677</v>
      </c>
      <c r="AD203">
        <v>6.3544999999999998</v>
      </c>
    </row>
    <row r="204" spans="1:30">
      <c r="A204">
        <v>203</v>
      </c>
      <c r="B204" t="s">
        <v>32</v>
      </c>
      <c r="C204">
        <v>2</v>
      </c>
      <c r="D204" t="s">
        <v>29</v>
      </c>
      <c r="E204">
        <v>1</v>
      </c>
      <c r="F204" t="s">
        <v>26</v>
      </c>
      <c r="G204">
        <v>1.2730999999999999</v>
      </c>
      <c r="H204">
        <v>76.067800000000005</v>
      </c>
      <c r="I204">
        <f>H204-G204</f>
        <v>74.794700000000006</v>
      </c>
      <c r="J204">
        <v>5</v>
      </c>
      <c r="K204">
        <f t="shared" si="117"/>
        <v>57.157143750000003</v>
      </c>
      <c r="L204">
        <f t="shared" si="114"/>
        <v>1.3085800845323032</v>
      </c>
      <c r="M204">
        <v>301</v>
      </c>
      <c r="N204">
        <v>38.753500000000003</v>
      </c>
      <c r="O204">
        <v>15.9125</v>
      </c>
      <c r="P204">
        <f>O204+N204</f>
        <v>54.666000000000004</v>
      </c>
      <c r="Q204">
        <v>54.621299999999998</v>
      </c>
      <c r="R204">
        <v>54.1068</v>
      </c>
      <c r="S204">
        <f t="shared" ref="S204" si="127">R204-N204</f>
        <v>15.353299999999997</v>
      </c>
      <c r="T204">
        <f t="shared" ref="T204" si="128">((O204-S204)/O204)*100</f>
        <v>3.5142183817753492</v>
      </c>
      <c r="U204">
        <f t="shared" si="120"/>
        <v>0.77568735271013967</v>
      </c>
      <c r="V204">
        <f>L204*(U204/100)</f>
        <v>1.0150490215800731E-2</v>
      </c>
    </row>
    <row r="205" spans="1:30">
      <c r="A205">
        <v>204</v>
      </c>
      <c r="B205" t="s">
        <v>32</v>
      </c>
      <c r="C205">
        <v>2</v>
      </c>
      <c r="D205" s="5" t="s">
        <v>29</v>
      </c>
      <c r="E205">
        <v>1</v>
      </c>
      <c r="F205" t="s">
        <v>27</v>
      </c>
      <c r="G205">
        <v>1.2813000000000001</v>
      </c>
      <c r="H205">
        <v>92.883200000000002</v>
      </c>
      <c r="I205">
        <f>H205-G205</f>
        <v>91.601900000000001</v>
      </c>
      <c r="J205">
        <v>5</v>
      </c>
      <c r="K205">
        <f t="shared" si="117"/>
        <v>57.157143750000003</v>
      </c>
      <c r="L205">
        <f t="shared" si="114"/>
        <v>1.6026325668171617</v>
      </c>
      <c r="M205" s="4"/>
      <c r="N205" s="4"/>
      <c r="O205" s="4"/>
      <c r="P205" s="4"/>
      <c r="Q205" s="4"/>
      <c r="R205" s="4"/>
      <c r="W205">
        <v>1.5137</v>
      </c>
      <c r="X205">
        <v>1.97</v>
      </c>
      <c r="Y205">
        <v>16.971499999999999</v>
      </c>
      <c r="Z205">
        <v>21.478200000000001</v>
      </c>
      <c r="AA205">
        <v>21.633099999999999</v>
      </c>
      <c r="AB205">
        <v>8.8362999999999996</v>
      </c>
      <c r="AC205">
        <v>2.9449999999999998</v>
      </c>
      <c r="AD205">
        <v>8.1232000000000006</v>
      </c>
    </row>
    <row r="206" spans="1:30">
      <c r="A206">
        <v>205</v>
      </c>
      <c r="B206" t="s">
        <v>32</v>
      </c>
      <c r="C206">
        <v>2</v>
      </c>
      <c r="D206" t="s">
        <v>30</v>
      </c>
      <c r="E206">
        <v>1</v>
      </c>
      <c r="F206" t="s">
        <v>24</v>
      </c>
      <c r="G206">
        <v>1.2806999999999999</v>
      </c>
      <c r="H206">
        <v>89.322000000000003</v>
      </c>
      <c r="I206">
        <f>H206-G206</f>
        <v>88.041300000000007</v>
      </c>
      <c r="J206">
        <v>5</v>
      </c>
      <c r="K206">
        <f t="shared" si="117"/>
        <v>57.157143750000003</v>
      </c>
      <c r="L206">
        <f t="shared" si="114"/>
        <v>1.5403376415218439</v>
      </c>
      <c r="M206">
        <v>307</v>
      </c>
      <c r="N206">
        <v>40.428600000000003</v>
      </c>
      <c r="O206">
        <v>15.186400000000001</v>
      </c>
      <c r="P206">
        <f>O206+N206</f>
        <v>55.615000000000002</v>
      </c>
      <c r="Q206">
        <v>55.571300000000001</v>
      </c>
      <c r="R206">
        <v>55.110700000000001</v>
      </c>
      <c r="S206">
        <f t="shared" ref="S206" si="129">R206-N206</f>
        <v>14.682099999999998</v>
      </c>
      <c r="T206">
        <f t="shared" ref="T206" si="130">((O206-S206)/O206)*100</f>
        <v>3.3207343412527153</v>
      </c>
      <c r="U206">
        <f t="shared" si="120"/>
        <v>0.69829373650108628</v>
      </c>
      <c r="V206">
        <f>L206*(U206/100)</f>
        <v>1.0756081271715592E-2</v>
      </c>
    </row>
    <row r="207" spans="1:30">
      <c r="A207">
        <v>206</v>
      </c>
      <c r="B207" t="s">
        <v>32</v>
      </c>
      <c r="C207">
        <v>2</v>
      </c>
      <c r="D207" s="5" t="s">
        <v>30</v>
      </c>
      <c r="E207">
        <v>1</v>
      </c>
      <c r="F207" t="s">
        <v>25</v>
      </c>
      <c r="G207">
        <v>1.2887</v>
      </c>
      <c r="H207">
        <v>76.152299999999997</v>
      </c>
      <c r="I207">
        <f>H207-G207</f>
        <v>74.863599999999991</v>
      </c>
      <c r="J207">
        <v>5</v>
      </c>
      <c r="K207">
        <f t="shared" si="117"/>
        <v>57.157143750000003</v>
      </c>
      <c r="L207">
        <f t="shared" si="114"/>
        <v>1.3097855331513131</v>
      </c>
      <c r="M207" s="4"/>
      <c r="N207" s="4"/>
      <c r="O207" s="4"/>
      <c r="P207" s="4"/>
      <c r="Q207" s="4"/>
      <c r="R207" s="4"/>
      <c r="W207">
        <v>0</v>
      </c>
      <c r="X207">
        <v>0.72689999999999999</v>
      </c>
      <c r="Y207">
        <v>11.238200000000001</v>
      </c>
      <c r="Z207">
        <v>18.1069</v>
      </c>
      <c r="AA207">
        <v>26.577500000000001</v>
      </c>
      <c r="AB207">
        <v>8.0876000000000001</v>
      </c>
      <c r="AC207">
        <v>2.577</v>
      </c>
      <c r="AD207">
        <v>6.7450999999999999</v>
      </c>
    </row>
    <row r="208" spans="1:30">
      <c r="A208">
        <v>207</v>
      </c>
      <c r="B208" t="s">
        <v>32</v>
      </c>
      <c r="C208">
        <v>2</v>
      </c>
      <c r="D208" t="s">
        <v>30</v>
      </c>
      <c r="E208">
        <v>1</v>
      </c>
      <c r="F208" t="s">
        <v>26</v>
      </c>
      <c r="G208">
        <v>1.2804</v>
      </c>
      <c r="H208">
        <v>70.439599999999999</v>
      </c>
      <c r="I208">
        <f>H208-G208</f>
        <v>69.159199999999998</v>
      </c>
      <c r="J208">
        <v>5</v>
      </c>
      <c r="K208">
        <f t="shared" si="117"/>
        <v>57.157143750000003</v>
      </c>
      <c r="L208">
        <f t="shared" si="114"/>
        <v>1.2099834852227023</v>
      </c>
      <c r="M208">
        <v>13</v>
      </c>
      <c r="N208">
        <v>41.379600000000003</v>
      </c>
      <c r="O208">
        <v>15.3209</v>
      </c>
      <c r="P208">
        <f>O208+N208</f>
        <v>56.700500000000005</v>
      </c>
      <c r="Q208">
        <v>56.653199999999998</v>
      </c>
      <c r="R208">
        <v>56.195999999999998</v>
      </c>
      <c r="S208">
        <f t="shared" ref="S208" si="131">R208-N208</f>
        <v>14.816399999999994</v>
      </c>
      <c r="T208">
        <f t="shared" ref="T208" si="132">((O208-S208)/O208)*100</f>
        <v>3.2928874935545922</v>
      </c>
      <c r="U208">
        <f t="shared" si="120"/>
        <v>0.68715499742183705</v>
      </c>
      <c r="V208">
        <f>L208*(U208/100)</f>
        <v>8.3144619866867137E-3</v>
      </c>
    </row>
    <row r="209" spans="1:30">
      <c r="A209">
        <v>208</v>
      </c>
      <c r="B209" t="s">
        <v>32</v>
      </c>
      <c r="C209">
        <v>2</v>
      </c>
      <c r="D209" s="5" t="s">
        <v>30</v>
      </c>
      <c r="E209">
        <v>1</v>
      </c>
      <c r="F209" t="s">
        <v>27</v>
      </c>
      <c r="G209">
        <v>1.2889999999999999</v>
      </c>
      <c r="H209">
        <v>85.114900000000006</v>
      </c>
      <c r="I209">
        <f>H209-G209</f>
        <v>83.825900000000004</v>
      </c>
      <c r="J209">
        <v>5</v>
      </c>
      <c r="K209">
        <f t="shared" si="117"/>
        <v>57.157143750000003</v>
      </c>
      <c r="L209">
        <f t="shared" si="114"/>
        <v>1.4665865804394749</v>
      </c>
      <c r="M209" s="4"/>
      <c r="N209" s="4"/>
      <c r="O209" s="4"/>
      <c r="P209" s="4"/>
      <c r="Q209" s="4"/>
      <c r="R209" s="4"/>
      <c r="W209">
        <v>0</v>
      </c>
      <c r="X209">
        <v>2.9257</v>
      </c>
      <c r="Y209">
        <v>17.0029</v>
      </c>
      <c r="Z209">
        <v>18.117599999999999</v>
      </c>
      <c r="AA209">
        <v>23.008600000000001</v>
      </c>
      <c r="AB209">
        <v>8.0961999999999996</v>
      </c>
      <c r="AC209">
        <v>3.0423</v>
      </c>
      <c r="AD209">
        <v>8.4871999999999996</v>
      </c>
    </row>
    <row r="210" spans="1:30">
      <c r="A210">
        <v>209</v>
      </c>
      <c r="B210" t="s">
        <v>32</v>
      </c>
      <c r="C210">
        <v>2</v>
      </c>
      <c r="D210" t="s">
        <v>23</v>
      </c>
      <c r="E210">
        <v>2</v>
      </c>
      <c r="F210" s="5" t="s">
        <v>24</v>
      </c>
      <c r="G210">
        <v>1.2709999999999999</v>
      </c>
      <c r="H210">
        <v>83.441500000000005</v>
      </c>
      <c r="I210">
        <f>H210-G210</f>
        <v>82.170500000000004</v>
      </c>
      <c r="J210">
        <v>5</v>
      </c>
      <c r="K210">
        <f t="shared" si="117"/>
        <v>57.157143750000003</v>
      </c>
      <c r="L210">
        <f t="shared" si="114"/>
        <v>1.4376243214567559</v>
      </c>
      <c r="M210">
        <v>18</v>
      </c>
      <c r="N210">
        <v>40.369599999999998</v>
      </c>
      <c r="O210">
        <v>15.363</v>
      </c>
      <c r="P210">
        <f>O210+N210</f>
        <v>55.732599999999998</v>
      </c>
      <c r="Q210">
        <v>55.690399999999997</v>
      </c>
      <c r="R210">
        <v>55.245600000000003</v>
      </c>
      <c r="S210">
        <f t="shared" ref="S210" si="133">R210-N210</f>
        <v>14.876000000000005</v>
      </c>
      <c r="T210">
        <f t="shared" ref="T210" si="134">((O210-S210)/O210)*100</f>
        <v>3.1699537850679866</v>
      </c>
      <c r="U210">
        <f t="shared" si="120"/>
        <v>0.63798151402719483</v>
      </c>
      <c r="V210">
        <f>L210*(U210/100)</f>
        <v>9.1717774120529966E-3</v>
      </c>
    </row>
    <row r="211" spans="1:30">
      <c r="A211">
        <v>210</v>
      </c>
      <c r="B211" t="s">
        <v>32</v>
      </c>
      <c r="C211">
        <v>2</v>
      </c>
      <c r="D211" t="s">
        <v>23</v>
      </c>
      <c r="E211">
        <v>2</v>
      </c>
      <c r="F211" s="5" t="s">
        <v>25</v>
      </c>
      <c r="G211">
        <v>1.2721</v>
      </c>
      <c r="H211">
        <v>84.473100000000002</v>
      </c>
      <c r="I211">
        <f>H211-G211</f>
        <v>83.201000000000008</v>
      </c>
      <c r="J211">
        <v>5</v>
      </c>
      <c r="K211">
        <f t="shared" si="117"/>
        <v>57.157143750000003</v>
      </c>
      <c r="L211">
        <f t="shared" si="114"/>
        <v>1.455653563864447</v>
      </c>
      <c r="M211" s="4"/>
      <c r="N211" s="4"/>
      <c r="O211" s="4"/>
      <c r="P211" s="4"/>
      <c r="Q211" s="4"/>
      <c r="R211" s="4"/>
      <c r="W211">
        <v>0</v>
      </c>
      <c r="X211">
        <v>0.88419999999999999</v>
      </c>
      <c r="Y211">
        <v>12.765700000000001</v>
      </c>
      <c r="Z211">
        <v>20.900600000000001</v>
      </c>
      <c r="AA211">
        <v>31.330500000000001</v>
      </c>
      <c r="AB211">
        <v>7.7751000000000001</v>
      </c>
      <c r="AC211">
        <v>2.5335999999999999</v>
      </c>
      <c r="AD211">
        <v>6.0232999999999999</v>
      </c>
    </row>
    <row r="212" spans="1:30">
      <c r="A212">
        <v>211</v>
      </c>
      <c r="B212" t="s">
        <v>32</v>
      </c>
      <c r="C212">
        <v>2</v>
      </c>
      <c r="D212" t="s">
        <v>23</v>
      </c>
      <c r="E212">
        <v>2</v>
      </c>
      <c r="F212" s="5" t="s">
        <v>26</v>
      </c>
      <c r="G212">
        <v>1.2709999999999999</v>
      </c>
      <c r="H212">
        <v>74.977800000000002</v>
      </c>
      <c r="I212">
        <f>H212-G212</f>
        <v>73.706800000000001</v>
      </c>
      <c r="J212">
        <v>5</v>
      </c>
      <c r="K212">
        <f t="shared" si="117"/>
        <v>57.157143750000003</v>
      </c>
      <c r="L212">
        <f t="shared" si="114"/>
        <v>1.2895465932025338</v>
      </c>
      <c r="M212">
        <v>311</v>
      </c>
      <c r="N212">
        <v>40.777799999999999</v>
      </c>
      <c r="O212">
        <v>15.2263</v>
      </c>
      <c r="P212">
        <f>O212+N212</f>
        <v>56.004100000000001</v>
      </c>
      <c r="Q212">
        <v>55.965600000000002</v>
      </c>
      <c r="R212">
        <v>55.567799999999998</v>
      </c>
      <c r="S212">
        <f t="shared" ref="S212" si="135">R212-N212</f>
        <v>14.79</v>
      </c>
      <c r="T212">
        <f t="shared" ref="T212" si="136">((O212-S212)/O212)*100</f>
        <v>2.8654367771553235</v>
      </c>
      <c r="U212">
        <f t="shared" si="120"/>
        <v>0.5161747108621294</v>
      </c>
      <c r="V212">
        <f>L212*(U212/100)</f>
        <v>6.6563133988956184E-3</v>
      </c>
    </row>
    <row r="213" spans="1:30">
      <c r="A213">
        <v>212</v>
      </c>
      <c r="B213" t="s">
        <v>32</v>
      </c>
      <c r="C213">
        <v>2</v>
      </c>
      <c r="D213" t="s">
        <v>23</v>
      </c>
      <c r="E213">
        <v>2</v>
      </c>
      <c r="F213" s="5" t="s">
        <v>27</v>
      </c>
      <c r="G213">
        <v>1.288</v>
      </c>
      <c r="H213">
        <v>80.711500000000001</v>
      </c>
      <c r="I213">
        <f>H213-G213</f>
        <v>79.423500000000004</v>
      </c>
      <c r="J213">
        <v>5</v>
      </c>
      <c r="K213">
        <f t="shared" si="117"/>
        <v>57.157143750000003</v>
      </c>
      <c r="L213">
        <f t="shared" si="114"/>
        <v>1.3895638373287329</v>
      </c>
      <c r="M213" s="4"/>
      <c r="N213" s="4"/>
      <c r="O213" s="4"/>
      <c r="P213" s="4"/>
      <c r="Q213" s="4"/>
      <c r="R213" s="4"/>
      <c r="W213">
        <v>0</v>
      </c>
      <c r="X213">
        <v>0.97670000000000001</v>
      </c>
      <c r="Y213">
        <v>9.4563000000000006</v>
      </c>
      <c r="Z213">
        <v>18.3001</v>
      </c>
      <c r="AA213">
        <v>28.236000000000001</v>
      </c>
      <c r="AB213">
        <v>8.8920999999999992</v>
      </c>
      <c r="AC213">
        <v>3.1989000000000001</v>
      </c>
      <c r="AD213">
        <v>7.8596000000000004</v>
      </c>
    </row>
    <row r="214" spans="1:30">
      <c r="A214">
        <v>213</v>
      </c>
      <c r="B214" t="s">
        <v>32</v>
      </c>
      <c r="C214">
        <v>2</v>
      </c>
      <c r="D214" t="s">
        <v>28</v>
      </c>
      <c r="E214">
        <v>2</v>
      </c>
      <c r="F214" s="5" t="s">
        <v>24</v>
      </c>
      <c r="G214">
        <v>1.2737000000000001</v>
      </c>
      <c r="H214">
        <v>78.281700000000001</v>
      </c>
      <c r="I214">
        <f>H214-G214</f>
        <v>77.007999999999996</v>
      </c>
      <c r="J214">
        <v>5</v>
      </c>
      <c r="K214">
        <f t="shared" si="117"/>
        <v>57.157143750000003</v>
      </c>
      <c r="L214">
        <f t="shared" si="114"/>
        <v>1.3473031531600981</v>
      </c>
      <c r="M214">
        <v>17</v>
      </c>
      <c r="N214">
        <v>39.3324</v>
      </c>
      <c r="O214">
        <v>15.4468</v>
      </c>
      <c r="P214">
        <v>54.779000000000003</v>
      </c>
      <c r="Q214">
        <v>54.696100000000001</v>
      </c>
      <c r="R214">
        <v>54.162700000000001</v>
      </c>
      <c r="S214">
        <f t="shared" ref="S214" si="137">R214-N214</f>
        <v>14.830300000000001</v>
      </c>
      <c r="T214">
        <f t="shared" ref="T214" si="138">((O214-S214)/O214)*100</f>
        <v>3.9911179014423608</v>
      </c>
      <c r="U214">
        <f t="shared" si="120"/>
        <v>0.96644716057694435</v>
      </c>
      <c r="V214">
        <f>L214*(U214/100)</f>
        <v>1.3020973068079408E-2</v>
      </c>
    </row>
    <row r="215" spans="1:30">
      <c r="A215">
        <v>214</v>
      </c>
      <c r="B215" t="s">
        <v>32</v>
      </c>
      <c r="C215">
        <v>2</v>
      </c>
      <c r="D215" t="s">
        <v>28</v>
      </c>
      <c r="E215">
        <v>2</v>
      </c>
      <c r="F215" s="5" t="s">
        <v>25</v>
      </c>
      <c r="G215">
        <v>1.2762</v>
      </c>
      <c r="H215">
        <v>90.613399999999999</v>
      </c>
      <c r="I215">
        <f>H215-G215</f>
        <v>89.337199999999996</v>
      </c>
      <c r="J215">
        <v>5</v>
      </c>
      <c r="K215">
        <f t="shared" si="117"/>
        <v>57.157143750000003</v>
      </c>
      <c r="L215">
        <f t="shared" si="114"/>
        <v>1.5630102230222096</v>
      </c>
      <c r="M215" s="4"/>
      <c r="N215" s="4"/>
      <c r="O215" s="4"/>
      <c r="P215" s="4"/>
      <c r="Q215" s="4"/>
      <c r="R215" s="4"/>
      <c r="W215">
        <v>0</v>
      </c>
      <c r="X215">
        <v>1.9717</v>
      </c>
      <c r="Y215">
        <v>14.640499999999999</v>
      </c>
      <c r="Z215">
        <v>21.1172</v>
      </c>
      <c r="AA215">
        <v>28.598299999999998</v>
      </c>
      <c r="AB215">
        <v>7.6604999999999999</v>
      </c>
      <c r="AC215">
        <v>2.5470999999999999</v>
      </c>
      <c r="AD215" s="7">
        <v>6.6679000000000004</v>
      </c>
    </row>
    <row r="216" spans="1:30">
      <c r="A216">
        <v>215</v>
      </c>
      <c r="B216" t="s">
        <v>32</v>
      </c>
      <c r="C216">
        <v>2</v>
      </c>
      <c r="D216" t="s">
        <v>28</v>
      </c>
      <c r="E216">
        <v>2</v>
      </c>
      <c r="F216" s="5" t="s">
        <v>26</v>
      </c>
      <c r="G216">
        <v>1.2798</v>
      </c>
      <c r="H216">
        <v>96.144900000000007</v>
      </c>
      <c r="I216">
        <f>H216-G216</f>
        <v>94.865100000000012</v>
      </c>
      <c r="J216">
        <v>5</v>
      </c>
      <c r="K216">
        <f t="shared" si="117"/>
        <v>57.157143750000003</v>
      </c>
      <c r="L216">
        <f t="shared" si="114"/>
        <v>1.6597242929935596</v>
      </c>
      <c r="M216">
        <v>301</v>
      </c>
      <c r="N216">
        <v>38.755200000000002</v>
      </c>
      <c r="O216">
        <v>15.504899999999999</v>
      </c>
      <c r="P216">
        <v>54.260199999999998</v>
      </c>
      <c r="Q216">
        <v>54.195999999999998</v>
      </c>
      <c r="R216">
        <v>53.790599999999998</v>
      </c>
      <c r="S216">
        <f t="shared" ref="S216" si="139">R216-N216</f>
        <v>15.035399999999996</v>
      </c>
      <c r="T216">
        <f t="shared" ref="T216" si="140">((O216-S216)/O216)*100</f>
        <v>3.0280749956465609</v>
      </c>
      <c r="U216">
        <f t="shared" si="120"/>
        <v>0.58122999825862454</v>
      </c>
      <c r="V216">
        <f>L216*(U216/100)</f>
        <v>9.646815479264435E-3</v>
      </c>
    </row>
    <row r="217" spans="1:30">
      <c r="A217">
        <v>216</v>
      </c>
      <c r="B217" t="s">
        <v>32</v>
      </c>
      <c r="C217">
        <v>2</v>
      </c>
      <c r="D217" t="s">
        <v>28</v>
      </c>
      <c r="E217">
        <v>2</v>
      </c>
      <c r="F217" s="5" t="s">
        <v>27</v>
      </c>
      <c r="G217">
        <v>1.2693000000000001</v>
      </c>
      <c r="H217">
        <v>83.771299999999997</v>
      </c>
      <c r="I217">
        <f>H217-G217</f>
        <v>82.501999999999995</v>
      </c>
      <c r="J217">
        <v>5</v>
      </c>
      <c r="K217">
        <f t="shared" si="117"/>
        <v>57.157143750000003</v>
      </c>
      <c r="L217">
        <f t="shared" si="114"/>
        <v>1.4434241214161438</v>
      </c>
      <c r="M217" s="4"/>
      <c r="N217" s="4"/>
      <c r="O217" s="4"/>
      <c r="P217" s="4"/>
      <c r="Q217" s="4"/>
      <c r="R217" s="4"/>
      <c r="W217">
        <v>0</v>
      </c>
      <c r="X217">
        <v>0.68210000000000004</v>
      </c>
      <c r="Y217">
        <v>9.6669</v>
      </c>
      <c r="Z217">
        <v>19.409400000000002</v>
      </c>
      <c r="AA217">
        <v>32.761299999999999</v>
      </c>
      <c r="AB217">
        <v>9.2227999999999994</v>
      </c>
      <c r="AC217">
        <v>2.992</v>
      </c>
      <c r="AD217">
        <v>7.2629000000000001</v>
      </c>
    </row>
    <row r="218" spans="1:30">
      <c r="A218">
        <v>217</v>
      </c>
      <c r="B218" t="s">
        <v>32</v>
      </c>
      <c r="C218">
        <v>2</v>
      </c>
      <c r="D218" t="s">
        <v>29</v>
      </c>
      <c r="E218">
        <v>2</v>
      </c>
      <c r="F218" s="5" t="s">
        <v>24</v>
      </c>
      <c r="G218">
        <v>1.2825</v>
      </c>
      <c r="H218">
        <v>68.2363</v>
      </c>
      <c r="I218">
        <f>H218-G218</f>
        <v>66.953800000000001</v>
      </c>
      <c r="J218">
        <v>5</v>
      </c>
      <c r="K218">
        <f t="shared" si="117"/>
        <v>57.157143750000003</v>
      </c>
      <c r="L218">
        <f t="shared" si="114"/>
        <v>1.1713986320388865</v>
      </c>
      <c r="M218">
        <v>140</v>
      </c>
      <c r="N218">
        <v>38.648200000000003</v>
      </c>
      <c r="O218">
        <v>15.3392</v>
      </c>
      <c r="P218">
        <f>O218+N218</f>
        <v>53.987400000000001</v>
      </c>
      <c r="Q218">
        <v>53.933500000000002</v>
      </c>
      <c r="R218">
        <v>53.390599999999999</v>
      </c>
      <c r="S218">
        <f t="shared" ref="S218" si="141">R218-N218</f>
        <v>14.742399999999996</v>
      </c>
      <c r="T218">
        <f t="shared" ref="T218" si="142">((O218-S218)/O218)*100</f>
        <v>3.8906853030145219</v>
      </c>
      <c r="U218">
        <f t="shared" si="120"/>
        <v>0.92627412120580888</v>
      </c>
      <c r="V218">
        <f>L218*(U218/100)</f>
        <v>1.0850362384735064E-2</v>
      </c>
    </row>
    <row r="219" spans="1:30">
      <c r="A219">
        <v>218</v>
      </c>
      <c r="B219" t="s">
        <v>32</v>
      </c>
      <c r="C219">
        <v>2</v>
      </c>
      <c r="D219" s="5" t="s">
        <v>29</v>
      </c>
      <c r="E219">
        <v>2</v>
      </c>
      <c r="F219" s="5" t="s">
        <v>25</v>
      </c>
      <c r="G219">
        <v>1.2841</v>
      </c>
      <c r="H219">
        <v>73.608900000000006</v>
      </c>
      <c r="I219">
        <f>H219-G219</f>
        <v>72.32480000000001</v>
      </c>
      <c r="J219">
        <v>5</v>
      </c>
      <c r="K219">
        <f t="shared" si="117"/>
        <v>57.157143750000003</v>
      </c>
      <c r="L219">
        <f t="shared" si="114"/>
        <v>1.2653676383190511</v>
      </c>
      <c r="M219" s="4"/>
      <c r="N219" s="4"/>
      <c r="O219" s="4"/>
      <c r="P219" s="4"/>
      <c r="Q219" s="4"/>
      <c r="R219" s="4"/>
      <c r="W219">
        <v>0</v>
      </c>
      <c r="X219">
        <v>4.4379999999999997</v>
      </c>
      <c r="Y219">
        <v>17.776800000000001</v>
      </c>
      <c r="Z219">
        <v>14.4314</v>
      </c>
      <c r="AA219">
        <v>17.3062</v>
      </c>
      <c r="AB219">
        <v>6.3540999999999999</v>
      </c>
      <c r="AC219">
        <v>2.2198000000000002</v>
      </c>
      <c r="AD219">
        <v>5.9288999999999996</v>
      </c>
    </row>
    <row r="220" spans="1:30">
      <c r="A220">
        <v>219</v>
      </c>
      <c r="B220" t="s">
        <v>32</v>
      </c>
      <c r="C220">
        <v>2</v>
      </c>
      <c r="D220" t="s">
        <v>29</v>
      </c>
      <c r="E220">
        <v>2</v>
      </c>
      <c r="F220" s="5" t="s">
        <v>26</v>
      </c>
      <c r="G220">
        <v>1.2858000000000001</v>
      </c>
      <c r="H220">
        <v>68.645099999999999</v>
      </c>
      <c r="I220">
        <f>H220-G220</f>
        <v>67.359300000000005</v>
      </c>
      <c r="J220">
        <v>5</v>
      </c>
      <c r="K220">
        <f t="shared" si="117"/>
        <v>57.157143750000003</v>
      </c>
      <c r="L220">
        <f t="shared" si="114"/>
        <v>1.178493108308968</v>
      </c>
      <c r="M220">
        <v>308</v>
      </c>
      <c r="N220">
        <v>39.236499999999999</v>
      </c>
      <c r="O220">
        <v>15.3256</v>
      </c>
      <c r="P220">
        <f>O220+N220</f>
        <v>54.562100000000001</v>
      </c>
      <c r="Q220">
        <v>54.5105</v>
      </c>
      <c r="R220">
        <v>53.953000000000003</v>
      </c>
      <c r="S220">
        <f t="shared" ref="S220" si="143">R220-N220</f>
        <v>14.716500000000003</v>
      </c>
      <c r="T220">
        <f t="shared" ref="T220" si="144">((O220-S220)/O220)*100</f>
        <v>3.9743957822205735</v>
      </c>
      <c r="U220">
        <f t="shared" si="120"/>
        <v>0.95975831288822955</v>
      </c>
      <c r="V220">
        <f>L220*(U220/100)</f>
        <v>1.1310685573810207E-2</v>
      </c>
    </row>
    <row r="221" spans="1:30">
      <c r="A221">
        <v>220</v>
      </c>
      <c r="B221" t="s">
        <v>32</v>
      </c>
      <c r="C221">
        <v>2</v>
      </c>
      <c r="D221" s="5" t="s">
        <v>29</v>
      </c>
      <c r="E221">
        <v>2</v>
      </c>
      <c r="F221" s="5" t="s">
        <v>27</v>
      </c>
      <c r="G221">
        <v>1.2878000000000001</v>
      </c>
      <c r="H221">
        <v>72.167500000000004</v>
      </c>
      <c r="I221">
        <f>H221-G221</f>
        <v>70.8797</v>
      </c>
      <c r="J221">
        <v>5</v>
      </c>
      <c r="K221">
        <f t="shared" si="117"/>
        <v>57.157143750000003</v>
      </c>
      <c r="L221">
        <f t="shared" si="114"/>
        <v>1.2400847094463148</v>
      </c>
      <c r="M221" s="4"/>
      <c r="N221" s="4"/>
      <c r="O221" s="4"/>
      <c r="P221" s="4"/>
      <c r="Q221" s="4"/>
      <c r="R221" s="4"/>
      <c r="W221">
        <v>1.3673999999999999</v>
      </c>
      <c r="X221">
        <v>5.3673000000000002</v>
      </c>
      <c r="Y221">
        <v>16.5867</v>
      </c>
      <c r="Z221">
        <v>12.994</v>
      </c>
      <c r="AA221">
        <v>16.917100000000001</v>
      </c>
      <c r="AB221">
        <v>7.4199000000000002</v>
      </c>
      <c r="AC221">
        <v>2.6635</v>
      </c>
      <c r="AD221">
        <v>7.3777999999999997</v>
      </c>
    </row>
    <row r="222" spans="1:30">
      <c r="A222">
        <v>221</v>
      </c>
      <c r="B222" t="s">
        <v>32</v>
      </c>
      <c r="C222">
        <v>2</v>
      </c>
      <c r="D222" t="s">
        <v>30</v>
      </c>
      <c r="E222">
        <v>2</v>
      </c>
      <c r="F222" s="5" t="s">
        <v>24</v>
      </c>
      <c r="G222">
        <v>1.2717000000000001</v>
      </c>
      <c r="H222">
        <v>73.806399999999996</v>
      </c>
      <c r="I222">
        <f>H222-G222</f>
        <v>72.534700000000001</v>
      </c>
      <c r="J222">
        <v>5</v>
      </c>
      <c r="K222">
        <f t="shared" si="117"/>
        <v>57.157143750000003</v>
      </c>
      <c r="L222">
        <f t="shared" si="114"/>
        <v>1.2690399701787058</v>
      </c>
      <c r="M222">
        <v>17</v>
      </c>
      <c r="N222">
        <v>39.332299999999996</v>
      </c>
      <c r="O222">
        <v>15.771699999999999</v>
      </c>
      <c r="P222">
        <f>O222+N222</f>
        <v>55.103999999999999</v>
      </c>
      <c r="Q222">
        <v>55.056800000000003</v>
      </c>
      <c r="R222">
        <v>54.566499999999998</v>
      </c>
      <c r="S222">
        <f t="shared" ref="S222" si="145">R222-N222</f>
        <v>15.234200000000001</v>
      </c>
      <c r="T222">
        <f t="shared" ref="T222" si="146">((O222-S222)/O222)*100</f>
        <v>3.40800294197834</v>
      </c>
      <c r="U222">
        <f t="shared" si="120"/>
        <v>0.73320117679133612</v>
      </c>
      <c r="V222">
        <f>L222*(U222/100)</f>
        <v>9.3046159953026914E-3</v>
      </c>
    </row>
    <row r="223" spans="1:30">
      <c r="A223">
        <v>222</v>
      </c>
      <c r="B223" t="s">
        <v>32</v>
      </c>
      <c r="C223">
        <v>2</v>
      </c>
      <c r="D223" s="5" t="s">
        <v>30</v>
      </c>
      <c r="E223">
        <v>2</v>
      </c>
      <c r="F223" s="5" t="s">
        <v>25</v>
      </c>
      <c r="G223">
        <v>1.2612000000000001</v>
      </c>
      <c r="H223">
        <v>75.924899999999994</v>
      </c>
      <c r="I223">
        <f>H223-G223</f>
        <v>74.663699999999992</v>
      </c>
      <c r="J223">
        <v>5</v>
      </c>
      <c r="K223">
        <f t="shared" si="117"/>
        <v>57.157143750000003</v>
      </c>
      <c r="L223">
        <f t="shared" si="114"/>
        <v>1.3062881575498599</v>
      </c>
      <c r="M223" s="4"/>
      <c r="N223" s="4"/>
      <c r="O223" s="4"/>
      <c r="P223" s="4"/>
      <c r="Q223" s="4"/>
      <c r="R223" s="4"/>
      <c r="W223">
        <v>0</v>
      </c>
      <c r="X223">
        <v>2.7262</v>
      </c>
      <c r="Y223">
        <v>14.7165</v>
      </c>
      <c r="Z223">
        <v>16.6873</v>
      </c>
      <c r="AA223">
        <v>21.197800000000001</v>
      </c>
      <c r="AB223">
        <v>6.8895999999999997</v>
      </c>
      <c r="AC223">
        <v>2.4068999999999998</v>
      </c>
      <c r="AD223">
        <v>6.2004999999999999</v>
      </c>
    </row>
    <row r="224" spans="1:30">
      <c r="A224">
        <v>223</v>
      </c>
      <c r="B224" t="s">
        <v>32</v>
      </c>
      <c r="C224">
        <v>2</v>
      </c>
      <c r="D224" t="s">
        <v>30</v>
      </c>
      <c r="E224">
        <v>2</v>
      </c>
      <c r="F224" s="5" t="s">
        <v>26</v>
      </c>
      <c r="G224">
        <v>1.2841</v>
      </c>
      <c r="H224">
        <v>63.610500000000002</v>
      </c>
      <c r="I224">
        <f>H224-G224</f>
        <v>62.3264</v>
      </c>
      <c r="J224">
        <v>5</v>
      </c>
      <c r="K224">
        <f t="shared" si="117"/>
        <v>57.157143750000003</v>
      </c>
      <c r="L224">
        <f t="shared" si="114"/>
        <v>1.0904393731186051</v>
      </c>
      <c r="M224">
        <v>135</v>
      </c>
      <c r="N224">
        <v>37.124400000000001</v>
      </c>
      <c r="O224">
        <v>15.5931</v>
      </c>
      <c r="P224">
        <f>O224+N224</f>
        <v>52.717500000000001</v>
      </c>
      <c r="Q224">
        <v>52.668199999999999</v>
      </c>
      <c r="R224">
        <v>52.166600000000003</v>
      </c>
      <c r="S224">
        <f t="shared" ref="S224" si="147">R224-N224</f>
        <v>15.042200000000001</v>
      </c>
      <c r="T224">
        <f t="shared" ref="T224" si="148">((O224-S224)/O224)*100</f>
        <v>3.5329729175083764</v>
      </c>
      <c r="U224">
        <f t="shared" si="120"/>
        <v>0.78318916700335073</v>
      </c>
      <c r="V224">
        <f>L224*(U224/100)</f>
        <v>8.5402030430041624E-3</v>
      </c>
    </row>
    <row r="225" spans="1:33">
      <c r="A225">
        <v>224</v>
      </c>
      <c r="B225" t="s">
        <v>32</v>
      </c>
      <c r="C225">
        <v>2</v>
      </c>
      <c r="D225" s="5" t="s">
        <v>30</v>
      </c>
      <c r="E225">
        <v>2</v>
      </c>
      <c r="F225" s="5" t="s">
        <v>27</v>
      </c>
      <c r="G225">
        <v>1.2658</v>
      </c>
      <c r="H225">
        <v>77.900999999999996</v>
      </c>
      <c r="I225">
        <f>H225-G225</f>
        <v>76.635199999999998</v>
      </c>
      <c r="J225">
        <v>5</v>
      </c>
      <c r="K225">
        <f t="shared" si="117"/>
        <v>57.157143750000003</v>
      </c>
      <c r="L225">
        <f t="shared" si="114"/>
        <v>1.3407807838543366</v>
      </c>
      <c r="M225" s="4"/>
      <c r="N225" s="4"/>
      <c r="O225" s="4"/>
      <c r="P225" s="4"/>
      <c r="Q225" s="4"/>
      <c r="R225" s="4"/>
      <c r="W225">
        <v>0</v>
      </c>
      <c r="X225">
        <v>3.3380000000000001</v>
      </c>
      <c r="Y225">
        <v>13.290100000000001</v>
      </c>
      <c r="Z225">
        <v>115.3721</v>
      </c>
      <c r="AA225">
        <v>21.058599999999998</v>
      </c>
      <c r="AB225">
        <v>8.7224000000000004</v>
      </c>
      <c r="AC225">
        <v>3.1392000000000002</v>
      </c>
      <c r="AD225">
        <v>8.2279999999999998</v>
      </c>
    </row>
    <row r="226" spans="1:33">
      <c r="A226">
        <v>225</v>
      </c>
      <c r="B226" t="s">
        <v>32</v>
      </c>
      <c r="C226">
        <v>2</v>
      </c>
      <c r="D226" t="s">
        <v>23</v>
      </c>
      <c r="E226">
        <v>3</v>
      </c>
      <c r="F226" s="5" t="s">
        <v>24</v>
      </c>
      <c r="G226">
        <v>1.2721</v>
      </c>
      <c r="H226">
        <v>78.035700000000006</v>
      </c>
      <c r="I226">
        <f>H226-G226</f>
        <v>76.763600000000011</v>
      </c>
      <c r="J226">
        <v>5</v>
      </c>
      <c r="K226">
        <f t="shared" si="117"/>
        <v>57.157143750000003</v>
      </c>
      <c r="L226">
        <f t="shared" si="114"/>
        <v>1.3430272222096473</v>
      </c>
      <c r="M226">
        <v>209</v>
      </c>
      <c r="N226">
        <v>40.549500000000002</v>
      </c>
      <c r="O226">
        <v>15.8514</v>
      </c>
      <c r="P226">
        <f>O226+N226</f>
        <v>56.4009</v>
      </c>
      <c r="Q226">
        <v>56.361600000000003</v>
      </c>
      <c r="R226">
        <v>55.930100000000003</v>
      </c>
      <c r="S226">
        <f t="shared" ref="S226" si="149">R226-N226</f>
        <v>15.380600000000001</v>
      </c>
      <c r="T226">
        <f t="shared" ref="T226" si="150">((O226-S226)/O226)*100</f>
        <v>2.9700846612917395</v>
      </c>
      <c r="U226">
        <f t="shared" si="120"/>
        <v>0.5580338645166959</v>
      </c>
      <c r="V226">
        <f>L226*(U226/100)</f>
        <v>7.4945467096077271E-3</v>
      </c>
    </row>
    <row r="227" spans="1:33">
      <c r="A227">
        <v>226</v>
      </c>
      <c r="B227" t="s">
        <v>32</v>
      </c>
      <c r="C227">
        <v>2</v>
      </c>
      <c r="D227" t="s">
        <v>23</v>
      </c>
      <c r="E227">
        <v>3</v>
      </c>
      <c r="F227" s="5" t="s">
        <v>25</v>
      </c>
      <c r="G227">
        <v>1.2791999999999999</v>
      </c>
      <c r="H227">
        <v>79.270399999999995</v>
      </c>
      <c r="I227">
        <f>H227-G227</f>
        <v>77.991199999999992</v>
      </c>
      <c r="J227">
        <v>5</v>
      </c>
      <c r="K227">
        <f t="shared" si="117"/>
        <v>57.157143750000003</v>
      </c>
      <c r="L227">
        <f t="shared" si="114"/>
        <v>1.3645048524664949</v>
      </c>
      <c r="M227" s="4"/>
      <c r="N227" s="4"/>
      <c r="O227" s="4"/>
      <c r="P227" s="4"/>
      <c r="Q227" s="4"/>
      <c r="R227" s="4"/>
      <c r="W227">
        <v>0</v>
      </c>
      <c r="X227">
        <v>1.4698</v>
      </c>
      <c r="Y227">
        <v>10.321</v>
      </c>
      <c r="Z227">
        <v>18.925899999999999</v>
      </c>
      <c r="AA227">
        <v>29.033200000000001</v>
      </c>
      <c r="AB227">
        <v>7.4702000000000002</v>
      </c>
      <c r="AC227">
        <v>2.4527000000000001</v>
      </c>
      <c r="AD227">
        <v>6.3959999999999999</v>
      </c>
    </row>
    <row r="228" spans="1:33">
      <c r="A228">
        <v>227</v>
      </c>
      <c r="B228" t="s">
        <v>32</v>
      </c>
      <c r="C228">
        <v>2</v>
      </c>
      <c r="D228" t="s">
        <v>23</v>
      </c>
      <c r="E228">
        <v>3</v>
      </c>
      <c r="F228" s="5" t="s">
        <v>26</v>
      </c>
      <c r="G228">
        <v>1.2733000000000001</v>
      </c>
      <c r="H228">
        <v>84.043400000000005</v>
      </c>
      <c r="I228">
        <f>H228-G228</f>
        <v>82.770099999999999</v>
      </c>
      <c r="J228">
        <v>5</v>
      </c>
      <c r="K228">
        <f t="shared" si="117"/>
        <v>57.157143750000003</v>
      </c>
      <c r="L228">
        <f t="shared" si="114"/>
        <v>1.4481146986985332</v>
      </c>
      <c r="M228">
        <v>101</v>
      </c>
      <c r="N228">
        <v>38.367699999999999</v>
      </c>
      <c r="O228">
        <v>15.539099999999999</v>
      </c>
      <c r="P228">
        <f>O228+N228</f>
        <v>53.906799999999997</v>
      </c>
      <c r="Q228">
        <v>53.864600000000003</v>
      </c>
      <c r="R228">
        <v>53.453699999999998</v>
      </c>
      <c r="S228">
        <f t="shared" ref="S228" si="151">R228-N228</f>
        <v>15.085999999999999</v>
      </c>
      <c r="T228">
        <f t="shared" ref="T228" si="152">((O228-S228)/O228)*100</f>
        <v>2.915870288498053</v>
      </c>
      <c r="U228">
        <f t="shared" si="120"/>
        <v>0.53634811539922123</v>
      </c>
      <c r="V228">
        <f>L228*(U228/100)</f>
        <v>7.766935895288693E-3</v>
      </c>
    </row>
    <row r="229" spans="1:33">
      <c r="A229">
        <v>228</v>
      </c>
      <c r="B229" t="s">
        <v>32</v>
      </c>
      <c r="C229">
        <v>2</v>
      </c>
      <c r="D229" t="s">
        <v>23</v>
      </c>
      <c r="E229">
        <v>3</v>
      </c>
      <c r="F229" s="5" t="s">
        <v>27</v>
      </c>
      <c r="G229">
        <v>1.2684</v>
      </c>
      <c r="H229">
        <v>77.493600000000001</v>
      </c>
      <c r="I229">
        <f>H229-G229</f>
        <v>76.225200000000001</v>
      </c>
      <c r="J229">
        <v>5</v>
      </c>
      <c r="K229">
        <f t="shared" si="117"/>
        <v>57.157143750000003</v>
      </c>
      <c r="L229">
        <f t="shared" si="114"/>
        <v>1.3336075772680644</v>
      </c>
      <c r="M229" s="4"/>
      <c r="N229" s="4"/>
      <c r="O229" s="4"/>
      <c r="P229" s="4"/>
      <c r="Q229" s="4"/>
      <c r="R229" s="4"/>
      <c r="W229">
        <v>0</v>
      </c>
      <c r="X229">
        <v>0.90400000000000003</v>
      </c>
      <c r="Y229">
        <v>9.8531999999999993</v>
      </c>
      <c r="Z229">
        <v>17.991499999999998</v>
      </c>
      <c r="AA229">
        <v>28.257899999999999</v>
      </c>
      <c r="AB229">
        <v>8.0670000000000002</v>
      </c>
      <c r="AC229">
        <v>2.9438</v>
      </c>
      <c r="AD229">
        <v>7.6726999999999999</v>
      </c>
    </row>
    <row r="230" spans="1:33">
      <c r="A230">
        <v>229</v>
      </c>
      <c r="B230" t="s">
        <v>32</v>
      </c>
      <c r="C230">
        <v>2</v>
      </c>
      <c r="D230" t="s">
        <v>28</v>
      </c>
      <c r="E230">
        <v>3</v>
      </c>
      <c r="F230" s="5" t="s">
        <v>24</v>
      </c>
      <c r="G230">
        <v>1.2626999999999999</v>
      </c>
      <c r="H230">
        <v>88.550700000000006</v>
      </c>
      <c r="I230">
        <f>H230-G230</f>
        <v>87.288000000000011</v>
      </c>
      <c r="J230">
        <v>5</v>
      </c>
      <c r="K230">
        <f t="shared" si="117"/>
        <v>57.157143750000003</v>
      </c>
      <c r="L230">
        <f t="shared" si="114"/>
        <v>1.5271581865915056</v>
      </c>
      <c r="M230">
        <v>102</v>
      </c>
      <c r="N230">
        <v>38.783000000000001</v>
      </c>
      <c r="O230">
        <v>15.210800000000001</v>
      </c>
      <c r="P230">
        <f>O230+N230</f>
        <v>53.9938</v>
      </c>
      <c r="Q230">
        <v>53.957099999999997</v>
      </c>
      <c r="R230">
        <v>53.506500000000003</v>
      </c>
      <c r="S230">
        <f t="shared" ref="S230" si="153">R230-N230</f>
        <v>14.723500000000001</v>
      </c>
      <c r="T230">
        <f t="shared" ref="T230" si="154">((O230-S230)/O230)*100</f>
        <v>3.2036447787098599</v>
      </c>
      <c r="U230">
        <f t="shared" si="120"/>
        <v>0.65145791148394394</v>
      </c>
      <c r="V230">
        <f>L230*(U230/100)</f>
        <v>9.9487928274250934E-3</v>
      </c>
    </row>
    <row r="231" spans="1:33">
      <c r="A231">
        <v>230</v>
      </c>
      <c r="B231" t="s">
        <v>32</v>
      </c>
      <c r="C231">
        <v>2</v>
      </c>
      <c r="D231" t="s">
        <v>28</v>
      </c>
      <c r="E231">
        <v>3</v>
      </c>
      <c r="F231" s="5" t="s">
        <v>25</v>
      </c>
      <c r="G231">
        <v>1.2644</v>
      </c>
      <c r="H231">
        <v>86.448999999999998</v>
      </c>
      <c r="I231">
        <f>H231-G231</f>
        <v>85.184600000000003</v>
      </c>
      <c r="J231">
        <v>5</v>
      </c>
      <c r="K231">
        <f t="shared" si="117"/>
        <v>57.157143750000003</v>
      </c>
      <c r="L231">
        <f t="shared" si="114"/>
        <v>1.4903578872413477</v>
      </c>
      <c r="M231" s="4"/>
      <c r="N231" s="4"/>
      <c r="O231" s="4"/>
      <c r="P231" s="4"/>
      <c r="Q231" s="4"/>
      <c r="R231" s="4"/>
      <c r="W231">
        <v>0</v>
      </c>
      <c r="X231">
        <v>1.9921</v>
      </c>
      <c r="Y231">
        <v>13.727399999999999</v>
      </c>
      <c r="Z231">
        <v>18.438500000000001</v>
      </c>
      <c r="AA231">
        <v>30.363800000000001</v>
      </c>
      <c r="AB231">
        <v>8.6090999999999998</v>
      </c>
      <c r="AC231">
        <v>2.9708000000000001</v>
      </c>
      <c r="AD231">
        <v>8.2464999999999993</v>
      </c>
    </row>
    <row r="232" spans="1:33">
      <c r="A232">
        <v>231</v>
      </c>
      <c r="B232" t="s">
        <v>32</v>
      </c>
      <c r="C232">
        <v>2</v>
      </c>
      <c r="D232" t="s">
        <v>28</v>
      </c>
      <c r="E232">
        <v>3</v>
      </c>
      <c r="F232" s="5" t="s">
        <v>26</v>
      </c>
      <c r="G232">
        <v>1.2674000000000001</v>
      </c>
      <c r="H232">
        <v>78.209800000000001</v>
      </c>
      <c r="I232">
        <f>H232-G232</f>
        <v>76.942400000000006</v>
      </c>
      <c r="J232">
        <v>5</v>
      </c>
      <c r="K232">
        <f t="shared" si="117"/>
        <v>57.157143750000003</v>
      </c>
      <c r="L232">
        <f t="shared" si="114"/>
        <v>1.3461554401062947</v>
      </c>
      <c r="M232">
        <v>135</v>
      </c>
      <c r="N232">
        <v>37.124600000000001</v>
      </c>
      <c r="O232">
        <v>15.5166</v>
      </c>
      <c r="P232">
        <v>52.641300000000001</v>
      </c>
      <c r="Q232">
        <v>52.5535</v>
      </c>
      <c r="R232">
        <v>51.985799999999998</v>
      </c>
      <c r="S232">
        <f t="shared" ref="S232" si="155">R232-N232</f>
        <v>14.861199999999997</v>
      </c>
      <c r="T232">
        <f t="shared" ref="T232" si="156">((O232-S232)/O232)*100</f>
        <v>4.2238634752458895</v>
      </c>
      <c r="U232">
        <f t="shared" si="120"/>
        <v>1.0595453900983558</v>
      </c>
      <c r="V232">
        <f>L232*(U232/100)</f>
        <v>1.426312790920448E-2</v>
      </c>
    </row>
    <row r="233" spans="1:33">
      <c r="A233">
        <v>232</v>
      </c>
      <c r="B233" t="s">
        <v>32</v>
      </c>
      <c r="C233">
        <v>2</v>
      </c>
      <c r="D233" t="s">
        <v>28</v>
      </c>
      <c r="E233">
        <v>3</v>
      </c>
      <c r="F233" s="5" t="s">
        <v>27</v>
      </c>
      <c r="G233">
        <v>1.2556</v>
      </c>
      <c r="H233">
        <v>79.240600000000001</v>
      </c>
      <c r="I233">
        <f>H233-G233</f>
        <v>77.984999999999999</v>
      </c>
      <c r="J233">
        <v>5</v>
      </c>
      <c r="K233">
        <f t="shared" si="117"/>
        <v>57.157143750000003</v>
      </c>
      <c r="L233">
        <f t="shared" si="114"/>
        <v>1.3643963795864098</v>
      </c>
      <c r="M233" s="4"/>
      <c r="N233" s="4"/>
      <c r="O233" s="4"/>
      <c r="P233" s="4"/>
      <c r="Q233" s="4"/>
      <c r="R233" s="4"/>
      <c r="W233">
        <v>0</v>
      </c>
      <c r="X233">
        <v>1.1479999999999999</v>
      </c>
      <c r="Y233">
        <v>9.0777000000000001</v>
      </c>
      <c r="Z233">
        <v>16.650600000000001</v>
      </c>
      <c r="AA233">
        <v>30.277100000000001</v>
      </c>
      <c r="AB233">
        <v>8.5079999999999991</v>
      </c>
      <c r="AC233">
        <v>2.9594999999999998</v>
      </c>
      <c r="AD233">
        <v>7.7569999999999997</v>
      </c>
    </row>
    <row r="234" spans="1:33">
      <c r="A234">
        <v>233</v>
      </c>
      <c r="B234" t="s">
        <v>32</v>
      </c>
      <c r="C234">
        <v>2</v>
      </c>
      <c r="D234" t="s">
        <v>29</v>
      </c>
      <c r="E234">
        <v>3</v>
      </c>
      <c r="F234" s="5" t="s">
        <v>24</v>
      </c>
      <c r="G234">
        <v>1.2831999999999999</v>
      </c>
      <c r="H234">
        <v>89.1477</v>
      </c>
      <c r="I234">
        <f>H234-G234</f>
        <v>87.864500000000007</v>
      </c>
      <c r="J234">
        <v>5</v>
      </c>
      <c r="K234">
        <f t="shared" si="117"/>
        <v>57.157143750000003</v>
      </c>
      <c r="L234">
        <f t="shared" si="114"/>
        <v>1.5372444148768369</v>
      </c>
      <c r="M234">
        <v>101</v>
      </c>
      <c r="N234">
        <v>38.3688</v>
      </c>
      <c r="O234">
        <v>15.3742</v>
      </c>
      <c r="P234">
        <v>53.742199999999997</v>
      </c>
      <c r="Q234">
        <v>53.670200000000001</v>
      </c>
      <c r="R234">
        <v>53.226100000000002</v>
      </c>
      <c r="S234">
        <f t="shared" ref="S234" si="157">R234-N234</f>
        <v>14.857300000000002</v>
      </c>
      <c r="T234">
        <f t="shared" ref="T234" si="158">((O234-S234)/O234)*100</f>
        <v>3.362126159409907</v>
      </c>
      <c r="U234">
        <f t="shared" si="120"/>
        <v>0.71485046376396288</v>
      </c>
      <c r="V234">
        <f>L234*(U234/100)</f>
        <v>1.0988998828932686E-2</v>
      </c>
    </row>
    <row r="235" spans="1:33">
      <c r="A235">
        <v>234</v>
      </c>
      <c r="B235" t="s">
        <v>32</v>
      </c>
      <c r="C235">
        <v>2</v>
      </c>
      <c r="D235" s="5" t="s">
        <v>29</v>
      </c>
      <c r="E235">
        <v>3</v>
      </c>
      <c r="F235" s="5" t="s">
        <v>25</v>
      </c>
      <c r="G235">
        <v>1.2758</v>
      </c>
      <c r="H235">
        <v>79.623400000000004</v>
      </c>
      <c r="I235">
        <f>H235-G235</f>
        <v>78.3476</v>
      </c>
      <c r="J235">
        <v>5</v>
      </c>
      <c r="K235">
        <f t="shared" si="117"/>
        <v>57.157143750000003</v>
      </c>
      <c r="L235">
        <f t="shared" si="114"/>
        <v>1.3707402935088056</v>
      </c>
      <c r="M235" s="4"/>
      <c r="N235" s="4"/>
      <c r="O235" s="4"/>
      <c r="P235" s="4"/>
      <c r="Q235" s="4"/>
      <c r="R235" s="4"/>
      <c r="W235">
        <v>0</v>
      </c>
      <c r="X235">
        <v>0.62549999999999994</v>
      </c>
      <c r="Y235">
        <v>9.1893999999999991</v>
      </c>
      <c r="Z235">
        <v>18.1691</v>
      </c>
      <c r="AA235">
        <v>27.839300000000001</v>
      </c>
      <c r="AB235">
        <v>9.3850999999999996</v>
      </c>
      <c r="AC235">
        <v>3.1566999999999998</v>
      </c>
      <c r="AD235">
        <v>8.9185999999999996</v>
      </c>
    </row>
    <row r="236" spans="1:33">
      <c r="A236">
        <v>235</v>
      </c>
      <c r="B236" t="s">
        <v>32</v>
      </c>
      <c r="C236">
        <v>2</v>
      </c>
      <c r="D236" t="s">
        <v>29</v>
      </c>
      <c r="E236">
        <v>3</v>
      </c>
      <c r="F236" s="5" t="s">
        <v>26</v>
      </c>
      <c r="G236">
        <v>1.2676000000000001</v>
      </c>
      <c r="H236">
        <v>75.903199999999998</v>
      </c>
      <c r="I236">
        <f>H236-G236</f>
        <v>74.635599999999997</v>
      </c>
      <c r="J236">
        <v>5</v>
      </c>
      <c r="K236">
        <f t="shared" si="117"/>
        <v>57.157143750000003</v>
      </c>
      <c r="L236">
        <f t="shared" si="114"/>
        <v>1.3057965304643131</v>
      </c>
      <c r="M236">
        <v>302</v>
      </c>
      <c r="N236">
        <v>38.888100000000001</v>
      </c>
      <c r="O236">
        <v>15.5756</v>
      </c>
      <c r="P236">
        <f>O236+N236</f>
        <v>54.463700000000003</v>
      </c>
      <c r="Q236">
        <v>54.4178</v>
      </c>
      <c r="R236">
        <v>53.861199999999997</v>
      </c>
      <c r="S236">
        <f t="shared" ref="S236" si="159">R236-N236</f>
        <v>14.973099999999995</v>
      </c>
      <c r="T236">
        <f t="shared" ref="T236" si="160">((O236-S236)/O236)*100</f>
        <v>3.8682297953209153</v>
      </c>
      <c r="U236">
        <f t="shared" si="120"/>
        <v>0.91729191812836619</v>
      </c>
      <c r="V236">
        <f>L236*(U236/100)</f>
        <v>1.1977966041149753E-2</v>
      </c>
    </row>
    <row r="237" spans="1:33">
      <c r="A237">
        <v>236</v>
      </c>
      <c r="B237" t="s">
        <v>32</v>
      </c>
      <c r="C237">
        <v>2</v>
      </c>
      <c r="D237" s="5" t="s">
        <v>29</v>
      </c>
      <c r="E237">
        <v>3</v>
      </c>
      <c r="F237" s="5" t="s">
        <v>27</v>
      </c>
      <c r="G237">
        <v>1.2670999999999999</v>
      </c>
      <c r="H237">
        <v>73.603099999999998</v>
      </c>
      <c r="I237">
        <f>H237-G237</f>
        <v>72.335999999999999</v>
      </c>
      <c r="J237">
        <v>5</v>
      </c>
      <c r="K237">
        <f t="shared" si="117"/>
        <v>57.157143750000003</v>
      </c>
      <c r="L237">
        <f t="shared" si="114"/>
        <v>1.2655635893282369</v>
      </c>
      <c r="M237" s="4"/>
      <c r="N237" s="4"/>
      <c r="O237" s="4"/>
      <c r="P237" s="4"/>
      <c r="Q237" s="4"/>
      <c r="R237" s="4"/>
      <c r="W237">
        <v>0</v>
      </c>
      <c r="X237">
        <v>1.4802</v>
      </c>
      <c r="Y237">
        <v>12.058299999999999</v>
      </c>
      <c r="Z237">
        <v>17.3139</v>
      </c>
      <c r="AA237">
        <v>22.624099999999999</v>
      </c>
      <c r="AB237">
        <v>6.8667999999999996</v>
      </c>
      <c r="AC237">
        <v>2.4077000000000002</v>
      </c>
      <c r="AD237">
        <v>6.5114000000000001</v>
      </c>
    </row>
    <row r="238" spans="1:33">
      <c r="A238">
        <v>237</v>
      </c>
      <c r="B238" t="s">
        <v>32</v>
      </c>
      <c r="C238">
        <v>2</v>
      </c>
      <c r="D238" t="s">
        <v>30</v>
      </c>
      <c r="E238">
        <v>3</v>
      </c>
      <c r="F238" s="5" t="s">
        <v>24</v>
      </c>
      <c r="G238">
        <v>1.2715000000000001</v>
      </c>
      <c r="H238">
        <v>77.482600000000005</v>
      </c>
      <c r="I238">
        <f>H238-G238</f>
        <v>76.211100000000002</v>
      </c>
      <c r="J238">
        <v>5</v>
      </c>
      <c r="K238">
        <f t="shared" si="117"/>
        <v>57.157143750000003</v>
      </c>
      <c r="L238">
        <f t="shared" si="114"/>
        <v>1.3333608889440001</v>
      </c>
      <c r="M238">
        <v>304</v>
      </c>
      <c r="N238">
        <v>40.891100000000002</v>
      </c>
      <c r="O238">
        <v>15.95</v>
      </c>
      <c r="P238">
        <f>O238+N238</f>
        <v>56.841099999999997</v>
      </c>
      <c r="Q238">
        <v>56.797800000000002</v>
      </c>
      <c r="R238">
        <v>56.330399999999997</v>
      </c>
      <c r="S238">
        <f t="shared" ref="S238" si="161">R238-N238</f>
        <v>15.439299999999996</v>
      </c>
      <c r="T238">
        <f t="shared" ref="T238" si="162">((O238-S238)/O238)*100</f>
        <v>3.2018808777429686</v>
      </c>
      <c r="U238">
        <f t="shared" si="120"/>
        <v>0.65075235109718743</v>
      </c>
      <c r="V238">
        <f>L238*(U238/100)</f>
        <v>8.6768773334134387E-3</v>
      </c>
      <c r="AG238">
        <f>56.8411-N238</f>
        <v>15.949999999999996</v>
      </c>
    </row>
    <row r="239" spans="1:33">
      <c r="A239">
        <v>238</v>
      </c>
      <c r="B239" t="s">
        <v>32</v>
      </c>
      <c r="C239">
        <v>2</v>
      </c>
      <c r="D239" s="5" t="s">
        <v>30</v>
      </c>
      <c r="E239">
        <v>3</v>
      </c>
      <c r="F239" s="5" t="s">
        <v>25</v>
      </c>
      <c r="G239">
        <v>1.2761</v>
      </c>
      <c r="H239">
        <v>79.697500000000005</v>
      </c>
      <c r="I239">
        <f>H239-G239</f>
        <v>78.421400000000006</v>
      </c>
      <c r="J239">
        <v>5</v>
      </c>
      <c r="K239">
        <f t="shared" si="117"/>
        <v>57.157143750000003</v>
      </c>
      <c r="L239">
        <f t="shared" si="114"/>
        <v>1.3720314706943346</v>
      </c>
      <c r="M239" s="4"/>
      <c r="N239" s="4"/>
      <c r="O239" s="4"/>
      <c r="P239" s="4"/>
      <c r="Q239" s="4"/>
      <c r="R239" s="4"/>
      <c r="W239">
        <v>0</v>
      </c>
      <c r="X239">
        <v>1.7979000000000001</v>
      </c>
      <c r="Y239">
        <v>9.8434000000000008</v>
      </c>
      <c r="Z239">
        <v>18.2424</v>
      </c>
      <c r="AA239">
        <v>26.351900000000001</v>
      </c>
      <c r="AB239">
        <v>93.323599999999999</v>
      </c>
      <c r="AC239">
        <v>3.0990000000000002</v>
      </c>
      <c r="AD239">
        <v>8.0447000000000006</v>
      </c>
    </row>
    <row r="240" spans="1:33">
      <c r="A240">
        <v>239</v>
      </c>
      <c r="B240" t="s">
        <v>32</v>
      </c>
      <c r="C240">
        <v>2</v>
      </c>
      <c r="D240" t="s">
        <v>30</v>
      </c>
      <c r="E240">
        <v>3</v>
      </c>
      <c r="F240" s="5" t="s">
        <v>26</v>
      </c>
      <c r="G240">
        <v>1.2747999999999999</v>
      </c>
      <c r="H240">
        <v>73.952600000000004</v>
      </c>
      <c r="I240">
        <f>H240-G240</f>
        <v>72.677800000000005</v>
      </c>
      <c r="J240">
        <v>5</v>
      </c>
      <c r="K240">
        <f t="shared" si="117"/>
        <v>57.157143750000003</v>
      </c>
      <c r="L240">
        <f t="shared" si="114"/>
        <v>1.2715435942335729</v>
      </c>
      <c r="M240">
        <v>150</v>
      </c>
      <c r="N240">
        <v>38.828000000000003</v>
      </c>
      <c r="O240">
        <v>15.521599999999999</v>
      </c>
      <c r="P240">
        <f>O240+N240</f>
        <v>54.349600000000002</v>
      </c>
      <c r="Q240">
        <v>54.302399999999999</v>
      </c>
      <c r="R240">
        <v>53.777700000000003</v>
      </c>
      <c r="S240">
        <f t="shared" ref="S240" si="163">R240-N240</f>
        <v>14.9497</v>
      </c>
      <c r="T240">
        <f t="shared" ref="T240" si="164">((O240-S240)/O240)*100</f>
        <v>3.6845428306360133</v>
      </c>
      <c r="U240">
        <f t="shared" si="120"/>
        <v>0.84381713225440536</v>
      </c>
      <c r="V240">
        <f>L240*(U240/100)</f>
        <v>1.0729502692226327E-2</v>
      </c>
    </row>
    <row r="241" spans="1:30">
      <c r="A241">
        <v>240</v>
      </c>
      <c r="B241" t="s">
        <v>32</v>
      </c>
      <c r="C241">
        <v>2</v>
      </c>
      <c r="D241" s="5" t="s">
        <v>30</v>
      </c>
      <c r="E241">
        <v>3</v>
      </c>
      <c r="F241" s="5" t="s">
        <v>27</v>
      </c>
      <c r="G241">
        <v>1.2791999999999999</v>
      </c>
      <c r="H241">
        <v>70.163300000000007</v>
      </c>
      <c r="I241">
        <f>H241-G241</f>
        <v>68.884100000000004</v>
      </c>
      <c r="J241">
        <v>5</v>
      </c>
      <c r="K241">
        <f t="shared" si="117"/>
        <v>57.157143750000003</v>
      </c>
      <c r="L241">
        <f t="shared" si="114"/>
        <v>1.2051704385595721</v>
      </c>
      <c r="M241" s="4"/>
      <c r="N241" s="4"/>
      <c r="O241" s="4"/>
      <c r="P241" s="4"/>
      <c r="Q241" s="4"/>
      <c r="R241" s="4"/>
      <c r="W241">
        <v>0</v>
      </c>
      <c r="X241">
        <v>2.2930000000000001</v>
      </c>
      <c r="Y241">
        <v>12.170199999999999</v>
      </c>
      <c r="Z241">
        <v>14.315200000000001</v>
      </c>
      <c r="AA241">
        <v>19.539200000000001</v>
      </c>
      <c r="AB241">
        <v>7.9911000000000003</v>
      </c>
      <c r="AC241">
        <v>3.0968</v>
      </c>
      <c r="AD241">
        <v>8.5039999999999996</v>
      </c>
    </row>
    <row r="242" spans="1:30">
      <c r="A242">
        <v>241</v>
      </c>
      <c r="B242" s="5" t="s">
        <v>33</v>
      </c>
      <c r="C242">
        <v>2</v>
      </c>
      <c r="D242" t="s">
        <v>23</v>
      </c>
      <c r="E242">
        <v>1</v>
      </c>
      <c r="F242" s="5" t="s">
        <v>24</v>
      </c>
      <c r="G242">
        <v>1.2724</v>
      </c>
      <c r="H242">
        <v>79.2547</v>
      </c>
      <c r="I242">
        <f>H242-G242</f>
        <v>77.982299999999995</v>
      </c>
      <c r="J242">
        <v>5</v>
      </c>
      <c r="K242">
        <f t="shared" si="117"/>
        <v>57.157143750000003</v>
      </c>
      <c r="L242">
        <f t="shared" si="114"/>
        <v>1.3643491413966953</v>
      </c>
      <c r="M242">
        <v>140</v>
      </c>
      <c r="N242">
        <v>38.641399999999997</v>
      </c>
      <c r="O242">
        <v>15.6754</v>
      </c>
      <c r="P242">
        <f>N242+O242</f>
        <v>54.316800000000001</v>
      </c>
      <c r="Q242">
        <v>54.312399999999997</v>
      </c>
      <c r="R242" s="7">
        <v>54.013500000000001</v>
      </c>
      <c r="S242">
        <f t="shared" ref="S242" si="165">R242-N242</f>
        <v>15.372100000000003</v>
      </c>
      <c r="T242">
        <f t="shared" ref="T242" si="166">((O242-S242)/O242)*100</f>
        <v>1.9348788547660447</v>
      </c>
      <c r="U242">
        <f t="shared" si="120"/>
        <v>0.1439515419064179</v>
      </c>
      <c r="V242">
        <f>L242*(U242/100)</f>
        <v>1.9640016260275167E-3</v>
      </c>
    </row>
    <row r="243" spans="1:30">
      <c r="A243">
        <v>242</v>
      </c>
      <c r="B243" s="5" t="s">
        <v>33</v>
      </c>
      <c r="C243">
        <v>2</v>
      </c>
      <c r="D243" t="s">
        <v>23</v>
      </c>
      <c r="E243">
        <v>1</v>
      </c>
      <c r="F243" s="5" t="s">
        <v>25</v>
      </c>
      <c r="G243">
        <v>1.2657</v>
      </c>
      <c r="H243">
        <v>75.921000000000006</v>
      </c>
      <c r="I243">
        <f>H243-G243</f>
        <v>74.655300000000011</v>
      </c>
      <c r="J243">
        <v>5</v>
      </c>
      <c r="K243">
        <f t="shared" si="117"/>
        <v>57.157143750000003</v>
      </c>
      <c r="L243">
        <f t="shared" si="114"/>
        <v>1.3061411942929708</v>
      </c>
      <c r="M243" s="4"/>
      <c r="N243" s="4"/>
      <c r="O243" s="4"/>
      <c r="P243" s="4"/>
      <c r="Q243" s="4"/>
      <c r="R243" s="4"/>
      <c r="W243">
        <v>0</v>
      </c>
      <c r="X243">
        <v>1.2927</v>
      </c>
      <c r="Y243">
        <v>16.653500000000001</v>
      </c>
      <c r="Z243">
        <v>30.329000000000001</v>
      </c>
      <c r="AA243">
        <v>21.171900000000001</v>
      </c>
      <c r="AB243">
        <v>4.2061000000000002</v>
      </c>
      <c r="AC243">
        <v>0.35399999999999998</v>
      </c>
      <c r="AD243">
        <v>0.47220000000000001</v>
      </c>
    </row>
    <row r="244" spans="1:30">
      <c r="A244">
        <v>243</v>
      </c>
      <c r="B244" s="5" t="s">
        <v>33</v>
      </c>
      <c r="C244">
        <v>2</v>
      </c>
      <c r="D244" t="s">
        <v>23</v>
      </c>
      <c r="E244">
        <v>1</v>
      </c>
      <c r="F244" s="5" t="s">
        <v>26</v>
      </c>
      <c r="G244">
        <v>1.2642</v>
      </c>
      <c r="H244">
        <v>75.102500000000006</v>
      </c>
      <c r="I244">
        <f>H244-G244</f>
        <v>73.838300000000004</v>
      </c>
      <c r="J244">
        <v>5</v>
      </c>
      <c r="K244">
        <f t="shared" si="117"/>
        <v>57.157143750000003</v>
      </c>
      <c r="L244">
        <f t="shared" si="114"/>
        <v>1.291847267997887</v>
      </c>
      <c r="M244">
        <v>18</v>
      </c>
      <c r="N244">
        <v>40.365200000000002</v>
      </c>
      <c r="O244">
        <v>15.444000000000001</v>
      </c>
      <c r="P244">
        <f t="shared" ref="P244" si="167">N244+O244</f>
        <v>55.809200000000004</v>
      </c>
      <c r="Q244">
        <v>55.804400000000001</v>
      </c>
      <c r="R244">
        <v>55.519799999999996</v>
      </c>
      <c r="S244">
        <f t="shared" ref="S244" si="168">R244-N244</f>
        <v>15.154599999999995</v>
      </c>
      <c r="T244">
        <f t="shared" ref="T244" si="169">((O244-S244)/O244)*100</f>
        <v>1.873866873866912</v>
      </c>
      <c r="U244">
        <f t="shared" si="120"/>
        <v>0.11954674954676481</v>
      </c>
      <c r="V244">
        <f>L244*(U244/100)</f>
        <v>1.5443614180001574E-3</v>
      </c>
    </row>
    <row r="245" spans="1:30">
      <c r="A245">
        <v>244</v>
      </c>
      <c r="B245" s="5" t="s">
        <v>33</v>
      </c>
      <c r="C245">
        <v>2</v>
      </c>
      <c r="D245" t="s">
        <v>23</v>
      </c>
      <c r="E245">
        <v>1</v>
      </c>
      <c r="F245" s="5" t="s">
        <v>27</v>
      </c>
      <c r="G245">
        <v>1.2788999999999999</v>
      </c>
      <c r="H245">
        <v>75.667900000000003</v>
      </c>
      <c r="I245">
        <f>H245-G245</f>
        <v>74.38900000000001</v>
      </c>
      <c r="J245">
        <v>5</v>
      </c>
      <c r="K245">
        <f t="shared" si="117"/>
        <v>57.157143750000003</v>
      </c>
      <c r="L245">
        <f t="shared" si="114"/>
        <v>1.3014821091370579</v>
      </c>
      <c r="M245" s="4"/>
      <c r="N245" s="4"/>
      <c r="O245" s="4"/>
      <c r="P245" s="4"/>
      <c r="Q245" s="4"/>
      <c r="R245" s="4"/>
      <c r="W245">
        <v>0</v>
      </c>
      <c r="X245">
        <v>1.1505000000000001</v>
      </c>
      <c r="Y245">
        <v>15.5825</v>
      </c>
      <c r="Z245">
        <v>31.616299999999999</v>
      </c>
      <c r="AA245">
        <v>21.127700000000001</v>
      </c>
      <c r="AB245">
        <v>3.4226999999999999</v>
      </c>
      <c r="AC245">
        <v>0.2278</v>
      </c>
      <c r="AD245">
        <v>0.27950000000000003</v>
      </c>
    </row>
    <row r="246" spans="1:30">
      <c r="A246">
        <v>245</v>
      </c>
      <c r="B246" s="5" t="s">
        <v>33</v>
      </c>
      <c r="C246">
        <v>2</v>
      </c>
      <c r="D246" t="s">
        <v>28</v>
      </c>
      <c r="E246">
        <v>1</v>
      </c>
      <c r="F246" s="5" t="s">
        <v>24</v>
      </c>
      <c r="G246">
        <v>1.2626999999999999</v>
      </c>
      <c r="H246">
        <v>60.750799999999998</v>
      </c>
      <c r="I246">
        <f>H246-G246</f>
        <v>59.488099999999996</v>
      </c>
      <c r="J246">
        <v>5</v>
      </c>
      <c r="K246">
        <f t="shared" si="117"/>
        <v>57.157143750000003</v>
      </c>
      <c r="L246">
        <f t="shared" si="114"/>
        <v>1.0407815383532</v>
      </c>
      <c r="M246">
        <v>307</v>
      </c>
      <c r="N246">
        <v>40.424999999999997</v>
      </c>
      <c r="O246">
        <v>15.220800000000001</v>
      </c>
      <c r="P246">
        <f t="shared" ref="P246" si="170">N246+O246</f>
        <v>55.645799999999994</v>
      </c>
      <c r="Q246">
        <v>55.636499999999998</v>
      </c>
      <c r="R246">
        <v>55.325899999999997</v>
      </c>
      <c r="S246">
        <f t="shared" ref="S246" si="171">R246-N246</f>
        <v>14.9009</v>
      </c>
      <c r="T246">
        <f t="shared" ref="T246" si="172">((O246-S246)/O246)*100</f>
        <v>2.1017292126563683</v>
      </c>
      <c r="U246">
        <f t="shared" si="120"/>
        <v>0.21069168506254732</v>
      </c>
      <c r="V246">
        <f>L246*(U246/100)</f>
        <v>2.1928401609762594E-3</v>
      </c>
    </row>
    <row r="247" spans="1:30">
      <c r="A247">
        <v>246</v>
      </c>
      <c r="B247" s="5" t="s">
        <v>33</v>
      </c>
      <c r="C247">
        <v>2</v>
      </c>
      <c r="D247" t="s">
        <v>28</v>
      </c>
      <c r="E247">
        <v>1</v>
      </c>
      <c r="F247" s="5" t="s">
        <v>25</v>
      </c>
      <c r="G247">
        <v>1.2692000000000001</v>
      </c>
      <c r="H247">
        <v>67.676000000000002</v>
      </c>
      <c r="I247">
        <f>H247-G247</f>
        <v>66.406800000000004</v>
      </c>
      <c r="J247">
        <v>5</v>
      </c>
      <c r="K247">
        <f t="shared" si="117"/>
        <v>57.157143750000003</v>
      </c>
      <c r="L247">
        <f t="shared" si="114"/>
        <v>1.1618285247152504</v>
      </c>
      <c r="M247" s="4"/>
      <c r="N247" s="4"/>
      <c r="O247" s="4"/>
      <c r="P247" s="4"/>
      <c r="Q247" s="4"/>
      <c r="R247" s="4"/>
      <c r="W247">
        <v>0</v>
      </c>
      <c r="X247">
        <v>0.93340000000000001</v>
      </c>
      <c r="Y247">
        <v>16.628799999999998</v>
      </c>
      <c r="Z247">
        <v>24.4343</v>
      </c>
      <c r="AA247">
        <v>19.757300000000001</v>
      </c>
      <c r="AB247">
        <v>3.5074000000000001</v>
      </c>
      <c r="AC247">
        <v>0.30430000000000001</v>
      </c>
      <c r="AD247">
        <v>0.4486</v>
      </c>
    </row>
    <row r="248" spans="1:30">
      <c r="A248">
        <v>247</v>
      </c>
      <c r="B248" s="5" t="s">
        <v>33</v>
      </c>
      <c r="C248">
        <v>2</v>
      </c>
      <c r="D248" t="s">
        <v>28</v>
      </c>
      <c r="E248">
        <v>1</v>
      </c>
      <c r="F248" s="5" t="s">
        <v>26</v>
      </c>
      <c r="G248">
        <v>1.2663</v>
      </c>
      <c r="H248">
        <v>70.274000000000001</v>
      </c>
      <c r="I248">
        <f>H248-G248</f>
        <v>69.0077</v>
      </c>
      <c r="J248">
        <v>5</v>
      </c>
      <c r="K248">
        <f t="shared" si="117"/>
        <v>57.157143750000003</v>
      </c>
      <c r="L248">
        <f t="shared" si="114"/>
        <v>1.2073328979109457</v>
      </c>
      <c r="M248">
        <v>135</v>
      </c>
      <c r="N248">
        <v>37.121000000000002</v>
      </c>
      <c r="O248">
        <v>15.855</v>
      </c>
      <c r="P248">
        <f t="shared" ref="P248" si="173">N248+O248</f>
        <v>52.975999999999999</v>
      </c>
      <c r="Q248">
        <v>52.965200000000003</v>
      </c>
      <c r="R248">
        <v>52.669899999999998</v>
      </c>
      <c r="S248">
        <f t="shared" ref="S248" si="174">R248-N248</f>
        <v>15.548899999999996</v>
      </c>
      <c r="T248">
        <f t="shared" ref="T248" si="175">((O248-S248)/O248)*100</f>
        <v>1.9306212551245931</v>
      </c>
      <c r="U248">
        <f t="shared" si="120"/>
        <v>0.1422485020498373</v>
      </c>
      <c r="V248">
        <f>L248*(U248/100)</f>
        <v>1.7174129620332115E-3</v>
      </c>
    </row>
    <row r="249" spans="1:30">
      <c r="A249">
        <v>248</v>
      </c>
      <c r="B249" s="5" t="s">
        <v>33</v>
      </c>
      <c r="C249">
        <v>2</v>
      </c>
      <c r="D249" t="s">
        <v>28</v>
      </c>
      <c r="E249">
        <v>1</v>
      </c>
      <c r="F249" s="5" t="s">
        <v>27</v>
      </c>
      <c r="G249">
        <v>1.2732000000000001</v>
      </c>
      <c r="H249">
        <v>77.309799999999996</v>
      </c>
      <c r="I249">
        <f>H249-G249</f>
        <v>76.036599999999993</v>
      </c>
      <c r="J249">
        <v>5</v>
      </c>
      <c r="K249">
        <f t="shared" si="117"/>
        <v>57.157143750000003</v>
      </c>
      <c r="L249">
        <f t="shared" si="114"/>
        <v>1.3303079022383792</v>
      </c>
      <c r="M249" s="4"/>
      <c r="N249" s="4"/>
      <c r="O249" s="4"/>
      <c r="P249" s="4"/>
      <c r="Q249" s="4"/>
      <c r="R249" s="4"/>
      <c r="W249">
        <v>0</v>
      </c>
      <c r="X249">
        <v>4.4280999999999997</v>
      </c>
      <c r="Y249">
        <v>20.1341</v>
      </c>
      <c r="Z249">
        <v>24.1707</v>
      </c>
      <c r="AA249">
        <v>20.9482</v>
      </c>
      <c r="AB249">
        <v>3.9708000000000001</v>
      </c>
      <c r="AC249">
        <v>0.37490000000000001</v>
      </c>
      <c r="AD249">
        <v>0.54879999999999995</v>
      </c>
    </row>
    <row r="250" spans="1:30">
      <c r="A250">
        <v>249</v>
      </c>
      <c r="B250" s="5" t="s">
        <v>33</v>
      </c>
      <c r="C250">
        <v>2</v>
      </c>
      <c r="D250" t="s">
        <v>29</v>
      </c>
      <c r="E250">
        <v>1</v>
      </c>
      <c r="F250" s="5" t="s">
        <v>24</v>
      </c>
      <c r="G250">
        <v>1.2696000000000001</v>
      </c>
      <c r="H250">
        <v>88.609700000000004</v>
      </c>
      <c r="I250">
        <f>H250-G250</f>
        <v>87.340100000000007</v>
      </c>
      <c r="J250">
        <v>5</v>
      </c>
      <c r="K250">
        <f t="shared" si="117"/>
        <v>57.157143750000003</v>
      </c>
      <c r="L250">
        <f t="shared" si="114"/>
        <v>1.5280697086967368</v>
      </c>
      <c r="M250">
        <v>17</v>
      </c>
      <c r="N250">
        <v>39.329500000000003</v>
      </c>
      <c r="O250">
        <v>15.6288</v>
      </c>
      <c r="P250">
        <f t="shared" ref="P250" si="176">N250+O250</f>
        <v>54.958300000000001</v>
      </c>
      <c r="Q250">
        <v>54.949800000000003</v>
      </c>
      <c r="R250">
        <v>54.676000000000002</v>
      </c>
      <c r="S250">
        <f t="shared" ref="S250" si="177">R250-N250</f>
        <v>15.346499999999999</v>
      </c>
      <c r="T250">
        <f t="shared" ref="T250" si="178">((O250-S250)/O250)*100</f>
        <v>1.8062807125307194</v>
      </c>
      <c r="U250">
        <f t="shared" si="120"/>
        <v>9.2512285012287809E-2</v>
      </c>
      <c r="V250">
        <f>L250*(U250/100)</f>
        <v>1.4136522040959613E-3</v>
      </c>
    </row>
    <row r="251" spans="1:30">
      <c r="A251">
        <v>250</v>
      </c>
      <c r="B251" s="5" t="s">
        <v>33</v>
      </c>
      <c r="C251">
        <v>2</v>
      </c>
      <c r="D251" s="5" t="s">
        <v>29</v>
      </c>
      <c r="E251">
        <v>1</v>
      </c>
      <c r="F251" s="5" t="s">
        <v>25</v>
      </c>
      <c r="G251">
        <v>1.2751999999999999</v>
      </c>
      <c r="H251">
        <v>92.035700000000006</v>
      </c>
      <c r="I251">
        <f>H251-G251</f>
        <v>90.760500000000008</v>
      </c>
      <c r="J251">
        <v>5</v>
      </c>
      <c r="K251">
        <f t="shared" si="117"/>
        <v>57.157143750000003</v>
      </c>
      <c r="L251">
        <f t="shared" si="114"/>
        <v>1.5879117472520661</v>
      </c>
      <c r="M251" s="4"/>
      <c r="N251" s="4"/>
      <c r="O251" s="4"/>
      <c r="P251" s="4"/>
      <c r="Q251" s="4"/>
      <c r="R251" s="4"/>
      <c r="W251">
        <v>0</v>
      </c>
      <c r="X251">
        <v>4.8399999999999999E-2</v>
      </c>
      <c r="Y251">
        <v>12.2485</v>
      </c>
      <c r="Z251">
        <v>40.665900000000001</v>
      </c>
      <c r="AA251">
        <v>33.459899999999998</v>
      </c>
      <c r="AB251">
        <v>3.8753000000000002</v>
      </c>
      <c r="AC251">
        <v>0.1605</v>
      </c>
      <c r="AD251">
        <v>9.3899999999999997E-2</v>
      </c>
    </row>
    <row r="252" spans="1:30">
      <c r="A252">
        <v>251</v>
      </c>
      <c r="B252" s="5" t="s">
        <v>33</v>
      </c>
      <c r="C252">
        <v>2</v>
      </c>
      <c r="D252" t="s">
        <v>29</v>
      </c>
      <c r="E252">
        <v>1</v>
      </c>
      <c r="F252" s="5" t="s">
        <v>26</v>
      </c>
      <c r="G252">
        <v>1.2688999999999999</v>
      </c>
      <c r="H252">
        <v>75.968699999999998</v>
      </c>
      <c r="I252">
        <f>H252-G252</f>
        <v>74.699799999999996</v>
      </c>
      <c r="J252">
        <v>5</v>
      </c>
      <c r="K252">
        <f t="shared" si="117"/>
        <v>57.157143750000003</v>
      </c>
      <c r="L252">
        <f t="shared" si="114"/>
        <v>1.3069197496419682</v>
      </c>
      <c r="M252">
        <v>150</v>
      </c>
      <c r="N252">
        <v>38.825699999999998</v>
      </c>
      <c r="O252">
        <v>15.8735</v>
      </c>
      <c r="P252">
        <f t="shared" ref="P252" si="179">N252+O252</f>
        <v>54.699199999999998</v>
      </c>
      <c r="Q252">
        <v>54.692</v>
      </c>
      <c r="R252">
        <v>54.3932</v>
      </c>
      <c r="S252">
        <f t="shared" ref="S252" si="180">R252-N252</f>
        <v>15.567500000000003</v>
      </c>
      <c r="T252">
        <f t="shared" ref="T252" si="181">((O252-S252)/O252)*100</f>
        <v>1.9277412038932649</v>
      </c>
      <c r="U252">
        <f t="shared" si="120"/>
        <v>0.14109648155730603</v>
      </c>
      <c r="V252">
        <f>L252*(U252/100)</f>
        <v>1.8440177835223697E-3</v>
      </c>
    </row>
    <row r="253" spans="1:30">
      <c r="A253">
        <v>252</v>
      </c>
      <c r="B253" s="5" t="s">
        <v>33</v>
      </c>
      <c r="C253">
        <v>2</v>
      </c>
      <c r="D253" s="5" t="s">
        <v>29</v>
      </c>
      <c r="E253">
        <v>1</v>
      </c>
      <c r="F253" s="5" t="s">
        <v>27</v>
      </c>
      <c r="G253">
        <v>1.2766999999999999</v>
      </c>
      <c r="H253">
        <v>87.672499999999999</v>
      </c>
      <c r="I253">
        <f>H253-G253</f>
        <v>86.395799999999994</v>
      </c>
      <c r="J253">
        <v>5</v>
      </c>
      <c r="K253">
        <f t="shared" si="117"/>
        <v>57.157143750000003</v>
      </c>
      <c r="L253">
        <f t="shared" si="114"/>
        <v>1.5115485892347444</v>
      </c>
      <c r="M253" s="4"/>
      <c r="N253" s="4"/>
      <c r="O253" s="4"/>
      <c r="P253" s="4"/>
      <c r="Q253" s="4"/>
      <c r="R253" s="4"/>
      <c r="W253">
        <v>0</v>
      </c>
      <c r="X253">
        <v>0.37540000000000001</v>
      </c>
      <c r="Y253">
        <v>12.884600000000001</v>
      </c>
      <c r="Z253">
        <v>37.505400000000002</v>
      </c>
      <c r="AA253">
        <v>30.279800000000002</v>
      </c>
      <c r="AB253">
        <v>4.4081000000000001</v>
      </c>
      <c r="AC253">
        <v>0.28910000000000002</v>
      </c>
      <c r="AD253">
        <v>0.19950000000000001</v>
      </c>
    </row>
    <row r="254" spans="1:30">
      <c r="A254">
        <v>253</v>
      </c>
      <c r="B254" s="5" t="s">
        <v>33</v>
      </c>
      <c r="C254">
        <v>2</v>
      </c>
      <c r="D254" t="s">
        <v>30</v>
      </c>
      <c r="E254">
        <v>1</v>
      </c>
      <c r="F254" s="5" t="s">
        <v>24</v>
      </c>
      <c r="G254">
        <v>1.2647999999999999</v>
      </c>
      <c r="H254">
        <v>77.556600000000003</v>
      </c>
      <c r="I254">
        <f>H254-G254</f>
        <v>76.291800000000009</v>
      </c>
      <c r="J254">
        <v>5</v>
      </c>
      <c r="K254">
        <f t="shared" si="117"/>
        <v>57.157143750000003</v>
      </c>
      <c r="L254">
        <f t="shared" si="114"/>
        <v>1.3347727859476883</v>
      </c>
      <c r="M254">
        <v>306</v>
      </c>
      <c r="N254">
        <v>37.840200000000003</v>
      </c>
      <c r="O254">
        <v>15.3706</v>
      </c>
      <c r="P254">
        <f t="shared" ref="P254" si="182">N254+O254</f>
        <v>53.210800000000006</v>
      </c>
      <c r="Q254">
        <v>53.2042</v>
      </c>
      <c r="R254">
        <v>52.920699999999997</v>
      </c>
      <c r="S254">
        <f t="shared" ref="S254" si="183">R254-N254</f>
        <v>15.080499999999994</v>
      </c>
      <c r="T254">
        <f t="shared" ref="T254" si="184">((O254-S254)/O254)*100</f>
        <v>1.8873693935175337</v>
      </c>
      <c r="U254">
        <f t="shared" si="120"/>
        <v>0.12494775740701358</v>
      </c>
      <c r="V254">
        <f>L254*(U254/100)</f>
        <v>1.6677686625207542E-3</v>
      </c>
    </row>
    <row r="255" spans="1:30">
      <c r="A255">
        <v>254</v>
      </c>
      <c r="B255" s="5" t="s">
        <v>33</v>
      </c>
      <c r="C255">
        <v>2</v>
      </c>
      <c r="D255" s="5" t="s">
        <v>30</v>
      </c>
      <c r="E255">
        <v>1</v>
      </c>
      <c r="F255" s="5" t="s">
        <v>25</v>
      </c>
      <c r="G255">
        <v>1.2735000000000001</v>
      </c>
      <c r="H255">
        <v>78.694199999999995</v>
      </c>
      <c r="I255">
        <f>H255-G255</f>
        <v>77.420699999999997</v>
      </c>
      <c r="J255">
        <v>5</v>
      </c>
      <c r="K255">
        <f t="shared" si="117"/>
        <v>57.157143750000003</v>
      </c>
      <c r="L255">
        <f t="shared" si="114"/>
        <v>1.3545235979360846</v>
      </c>
      <c r="M255" s="4"/>
      <c r="N255" s="4"/>
      <c r="O255" s="4"/>
      <c r="P255" s="4"/>
      <c r="Q255" s="4"/>
      <c r="R255" s="4"/>
      <c r="W255">
        <v>0</v>
      </c>
      <c r="X255">
        <v>4.5600000000000002E-2</v>
      </c>
      <c r="Y255">
        <v>11.862299999999999</v>
      </c>
      <c r="Z255">
        <v>36.705800000000004</v>
      </c>
      <c r="AA255">
        <v>25.154399999999999</v>
      </c>
      <c r="AB255">
        <v>3.00081</v>
      </c>
      <c r="AC255">
        <v>0.1681</v>
      </c>
      <c r="AD255">
        <v>0.1757</v>
      </c>
    </row>
    <row r="256" spans="1:30">
      <c r="A256">
        <v>255</v>
      </c>
      <c r="B256" s="5" t="s">
        <v>33</v>
      </c>
      <c r="C256">
        <v>2</v>
      </c>
      <c r="D256" t="s">
        <v>30</v>
      </c>
      <c r="E256">
        <v>1</v>
      </c>
      <c r="F256" s="5" t="s">
        <v>26</v>
      </c>
      <c r="G256">
        <v>1.2673000000000001</v>
      </c>
      <c r="H256">
        <v>88.816299999999998</v>
      </c>
      <c r="I256">
        <f>H256-G256</f>
        <v>87.548999999999992</v>
      </c>
      <c r="J256">
        <v>5</v>
      </c>
      <c r="K256">
        <f t="shared" si="117"/>
        <v>57.157143750000003</v>
      </c>
      <c r="L256">
        <f t="shared" si="114"/>
        <v>1.5317245449305712</v>
      </c>
      <c r="M256">
        <v>175</v>
      </c>
      <c r="N256">
        <v>40.466700000000003</v>
      </c>
      <c r="O256">
        <v>15.5899</v>
      </c>
      <c r="P256">
        <f t="shared" ref="P256" si="185">N256+O256</f>
        <v>56.056600000000003</v>
      </c>
      <c r="Q256">
        <v>56.027299999999997</v>
      </c>
      <c r="R256">
        <v>55.739699999999999</v>
      </c>
      <c r="S256">
        <f t="shared" ref="S256" si="186">R256-N256</f>
        <v>15.272999999999996</v>
      </c>
      <c r="T256">
        <f t="shared" ref="T256" si="187">((O256-S256)/O256)*100</f>
        <v>2.0327263163971798</v>
      </c>
      <c r="U256">
        <f t="shared" si="120"/>
        <v>0.18309052655887192</v>
      </c>
      <c r="V256">
        <f>L256*(U256/100)</f>
        <v>2.8044425347448676E-3</v>
      </c>
    </row>
    <row r="257" spans="1:30">
      <c r="A257">
        <v>256</v>
      </c>
      <c r="B257" s="5" t="s">
        <v>33</v>
      </c>
      <c r="C257">
        <v>2</v>
      </c>
      <c r="D257" s="5" t="s">
        <v>30</v>
      </c>
      <c r="E257">
        <v>1</v>
      </c>
      <c r="F257" s="5" t="s">
        <v>27</v>
      </c>
      <c r="G257">
        <v>1.2699</v>
      </c>
      <c r="H257">
        <v>73.6417</v>
      </c>
      <c r="I257">
        <f>H257-G257</f>
        <v>72.371799999999993</v>
      </c>
      <c r="J257">
        <v>5</v>
      </c>
      <c r="K257">
        <f t="shared" si="117"/>
        <v>57.157143750000003</v>
      </c>
      <c r="L257">
        <f t="shared" si="114"/>
        <v>1.2661899327325989</v>
      </c>
      <c r="M257" s="4"/>
      <c r="N257" s="4"/>
      <c r="O257" s="4"/>
      <c r="P257" s="4"/>
      <c r="Q257" s="4"/>
      <c r="R257" s="4"/>
      <c r="W257">
        <v>0</v>
      </c>
      <c r="X257">
        <v>1.4386000000000001</v>
      </c>
      <c r="Y257">
        <v>20.742599999999999</v>
      </c>
      <c r="Z257">
        <v>37.628399999999999</v>
      </c>
      <c r="AA257">
        <v>23.549399999999999</v>
      </c>
      <c r="AB257">
        <v>3.2612999999999999</v>
      </c>
      <c r="AC257">
        <v>0.25919999999999999</v>
      </c>
      <c r="AD257">
        <v>0.23519999999999999</v>
      </c>
    </row>
    <row r="258" spans="1:30">
      <c r="A258">
        <v>257</v>
      </c>
      <c r="B258" s="5" t="s">
        <v>33</v>
      </c>
      <c r="C258">
        <v>2</v>
      </c>
      <c r="D258" t="s">
        <v>23</v>
      </c>
      <c r="E258">
        <v>2</v>
      </c>
      <c r="F258" s="5" t="s">
        <v>24</v>
      </c>
      <c r="G258">
        <v>1.2632000000000001</v>
      </c>
      <c r="H258">
        <v>76.358500000000006</v>
      </c>
      <c r="I258">
        <f>H258-G258</f>
        <v>75.095300000000009</v>
      </c>
      <c r="J258">
        <v>5</v>
      </c>
      <c r="K258">
        <f t="shared" si="117"/>
        <v>57.157143750000003</v>
      </c>
      <c r="L258">
        <f t="shared" ref="L258:L321" si="188">I258/K258</f>
        <v>1.3138392696538481</v>
      </c>
      <c r="M258">
        <v>308</v>
      </c>
      <c r="N258">
        <v>39.234400000000001</v>
      </c>
      <c r="O258">
        <v>15.451599999999999</v>
      </c>
      <c r="P258">
        <f t="shared" ref="P258" si="189">N258+O258</f>
        <v>54.686</v>
      </c>
      <c r="Q258">
        <v>54.773000000000003</v>
      </c>
      <c r="R258">
        <v>54.3735</v>
      </c>
      <c r="S258">
        <f t="shared" ref="S258" si="190">R258-N258</f>
        <v>15.139099999999999</v>
      </c>
      <c r="T258">
        <f t="shared" ref="T258" si="191">((O258-S258)/O258)*100</f>
        <v>2.0224442776152634</v>
      </c>
      <c r="U258">
        <f t="shared" si="120"/>
        <v>0.17897771104610538</v>
      </c>
      <c r="V258">
        <f>L258*(U258/100)</f>
        <v>2.3514794516513253E-3</v>
      </c>
    </row>
    <row r="259" spans="1:30">
      <c r="A259">
        <v>258</v>
      </c>
      <c r="B259" s="5" t="s">
        <v>33</v>
      </c>
      <c r="C259">
        <v>2</v>
      </c>
      <c r="D259" t="s">
        <v>23</v>
      </c>
      <c r="E259">
        <v>2</v>
      </c>
      <c r="F259" s="5" t="s">
        <v>25</v>
      </c>
      <c r="G259">
        <v>1.2602</v>
      </c>
      <c r="H259">
        <v>86.007400000000004</v>
      </c>
      <c r="I259">
        <f>H259-G259</f>
        <v>84.747200000000007</v>
      </c>
      <c r="J259">
        <v>5</v>
      </c>
      <c r="K259">
        <f t="shared" ref="K259:K322" si="192">0.25*3.15*((7.62/2)^2)*J259</f>
        <v>57.157143750000003</v>
      </c>
      <c r="L259">
        <f t="shared" si="188"/>
        <v>1.4827053005076027</v>
      </c>
      <c r="M259" s="4"/>
      <c r="N259" s="4"/>
      <c r="O259" s="4"/>
      <c r="P259" s="4"/>
      <c r="Q259" s="4"/>
      <c r="R259" s="4"/>
      <c r="W259">
        <v>0</v>
      </c>
      <c r="X259">
        <v>0.4889</v>
      </c>
      <c r="Y259">
        <v>20.066500000000001</v>
      </c>
      <c r="Z259">
        <v>36.981900000000003</v>
      </c>
      <c r="AA259">
        <v>22.4222</v>
      </c>
      <c r="AB259">
        <v>3.613</v>
      </c>
      <c r="AC259">
        <v>0.25679999999999997</v>
      </c>
      <c r="AD259">
        <v>0.39760000000000001</v>
      </c>
    </row>
    <row r="260" spans="1:30">
      <c r="A260">
        <v>259</v>
      </c>
      <c r="B260" s="5" t="s">
        <v>33</v>
      </c>
      <c r="C260">
        <v>2</v>
      </c>
      <c r="D260" t="s">
        <v>23</v>
      </c>
      <c r="E260">
        <v>2</v>
      </c>
      <c r="F260" s="5" t="s">
        <v>26</v>
      </c>
      <c r="G260">
        <v>1.2647999999999999</v>
      </c>
      <c r="H260">
        <v>71.504300000000001</v>
      </c>
      <c r="I260">
        <f>H260-G260</f>
        <v>70.239500000000007</v>
      </c>
      <c r="J260">
        <v>5</v>
      </c>
      <c r="K260">
        <f t="shared" si="192"/>
        <v>57.157143750000003</v>
      </c>
      <c r="L260">
        <f t="shared" si="188"/>
        <v>1.2288840097962384</v>
      </c>
      <c r="M260">
        <v>13</v>
      </c>
      <c r="N260">
        <v>41.378700000000002</v>
      </c>
      <c r="O260">
        <v>15.284599999999999</v>
      </c>
      <c r="P260">
        <f t="shared" ref="P260" si="193">N260+O260</f>
        <v>56.6633</v>
      </c>
      <c r="Q260">
        <v>56.655200000000001</v>
      </c>
      <c r="R260">
        <v>56.3568</v>
      </c>
      <c r="S260">
        <f t="shared" ref="S260" si="194">R260-N260</f>
        <v>14.978099999999998</v>
      </c>
      <c r="T260">
        <f t="shared" ref="T260" si="195">((O260-S260)/O260)*100</f>
        <v>2.00528636666973</v>
      </c>
      <c r="U260">
        <f t="shared" ref="U260:U322" si="196">-0.63+0.4*T260</f>
        <v>0.17211454666789205</v>
      </c>
      <c r="V260">
        <f>L260*(U260/100)</f>
        <v>2.11508814253501E-3</v>
      </c>
    </row>
    <row r="261" spans="1:30">
      <c r="A261">
        <v>260</v>
      </c>
      <c r="B261" s="5" t="s">
        <v>33</v>
      </c>
      <c r="C261">
        <v>2</v>
      </c>
      <c r="D261" t="s">
        <v>23</v>
      </c>
      <c r="E261">
        <v>2</v>
      </c>
      <c r="F261" s="5" t="s">
        <v>27</v>
      </c>
      <c r="G261">
        <v>1.2768999999999999</v>
      </c>
      <c r="H261">
        <v>81.6554</v>
      </c>
      <c r="I261">
        <f>H261-G261</f>
        <v>80.378500000000003</v>
      </c>
      <c r="J261">
        <v>5</v>
      </c>
      <c r="K261">
        <f t="shared" si="192"/>
        <v>57.157143750000003</v>
      </c>
      <c r="L261">
        <f t="shared" si="188"/>
        <v>1.4062721599870007</v>
      </c>
      <c r="M261" s="4"/>
      <c r="N261" s="4"/>
      <c r="O261" s="4"/>
      <c r="P261" s="4"/>
      <c r="Q261" s="4"/>
      <c r="R261" s="4"/>
      <c r="W261">
        <v>0</v>
      </c>
      <c r="X261">
        <v>0.73009999999999997</v>
      </c>
      <c r="Y261">
        <v>24.29</v>
      </c>
      <c r="Z261">
        <v>30.4861</v>
      </c>
      <c r="AA261">
        <v>19.5518</v>
      </c>
      <c r="AB261">
        <v>3.8090999999999999</v>
      </c>
      <c r="AC261">
        <v>0.31759999999999999</v>
      </c>
      <c r="AD261">
        <v>0.4123</v>
      </c>
    </row>
    <row r="262" spans="1:30">
      <c r="A262">
        <v>261</v>
      </c>
      <c r="B262" s="5" t="s">
        <v>33</v>
      </c>
      <c r="C262">
        <v>2</v>
      </c>
      <c r="D262" t="s">
        <v>28</v>
      </c>
      <c r="E262">
        <v>2</v>
      </c>
      <c r="F262" s="5" t="s">
        <v>24</v>
      </c>
      <c r="G262">
        <v>1.2751999999999999</v>
      </c>
      <c r="H262">
        <v>79.031700000000001</v>
      </c>
      <c r="I262">
        <f>H262-G262</f>
        <v>77.756500000000003</v>
      </c>
      <c r="J262">
        <v>5</v>
      </c>
      <c r="K262">
        <f t="shared" si="192"/>
        <v>57.157143750000003</v>
      </c>
      <c r="L262">
        <f t="shared" si="188"/>
        <v>1.3603986290864998</v>
      </c>
      <c r="M262">
        <v>102</v>
      </c>
      <c r="N262">
        <v>38.780999999999999</v>
      </c>
      <c r="O262">
        <v>15.56</v>
      </c>
      <c r="P262">
        <f t="shared" ref="P262" si="197">N262+O262</f>
        <v>54.341000000000001</v>
      </c>
      <c r="Q262">
        <v>54.334200000000003</v>
      </c>
      <c r="R262">
        <v>54.014000000000003</v>
      </c>
      <c r="S262">
        <f t="shared" ref="S262" si="198">R262-N262</f>
        <v>15.233000000000004</v>
      </c>
      <c r="T262">
        <f t="shared" ref="T262" si="199">((O262-S262)/O262)*100</f>
        <v>2.101542416452419</v>
      </c>
      <c r="U262">
        <f t="shared" si="196"/>
        <v>0.21061696658096762</v>
      </c>
      <c r="V262">
        <f>L262*(U262/100)</f>
        <v>2.8652303259910548E-3</v>
      </c>
    </row>
    <row r="263" spans="1:30">
      <c r="A263">
        <v>262</v>
      </c>
      <c r="B263" s="5" t="s">
        <v>33</v>
      </c>
      <c r="C263">
        <v>2</v>
      </c>
      <c r="D263" t="s">
        <v>28</v>
      </c>
      <c r="E263">
        <v>2</v>
      </c>
      <c r="F263" s="5" t="s">
        <v>25</v>
      </c>
      <c r="G263">
        <v>1.2714000000000001</v>
      </c>
      <c r="H263">
        <v>66.452699999999993</v>
      </c>
      <c r="I263">
        <f>H263-G263</f>
        <v>65.181299999999993</v>
      </c>
      <c r="J263">
        <v>5</v>
      </c>
      <c r="K263">
        <f t="shared" si="192"/>
        <v>57.157143750000003</v>
      </c>
      <c r="L263">
        <f t="shared" si="188"/>
        <v>1.1403876352726248</v>
      </c>
      <c r="M263" s="4"/>
      <c r="N263" s="4"/>
      <c r="O263" s="4"/>
      <c r="P263" s="4"/>
      <c r="Q263" s="4"/>
      <c r="R263" s="4"/>
      <c r="W263">
        <v>0</v>
      </c>
      <c r="X263">
        <v>1.7084999999999999</v>
      </c>
      <c r="Y263">
        <v>21.628900000000002</v>
      </c>
      <c r="Z263">
        <v>23.9375</v>
      </c>
      <c r="AA263">
        <v>14.306800000000001</v>
      </c>
      <c r="AB263">
        <v>2.6475</v>
      </c>
      <c r="AC263">
        <v>0.18990000000000001</v>
      </c>
      <c r="AD263">
        <v>0.2268</v>
      </c>
    </row>
    <row r="264" spans="1:30">
      <c r="A264">
        <v>263</v>
      </c>
      <c r="B264" s="5" t="s">
        <v>33</v>
      </c>
      <c r="C264">
        <v>2</v>
      </c>
      <c r="D264" t="s">
        <v>28</v>
      </c>
      <c r="E264">
        <v>2</v>
      </c>
      <c r="F264" s="5" t="s">
        <v>26</v>
      </c>
      <c r="G264">
        <v>1.2732000000000001</v>
      </c>
      <c r="H264">
        <v>69.654399999999995</v>
      </c>
      <c r="I264">
        <f>H264-G264</f>
        <v>68.381199999999993</v>
      </c>
      <c r="J264">
        <v>5</v>
      </c>
      <c r="K264">
        <f t="shared" si="192"/>
        <v>57.157143750000003</v>
      </c>
      <c r="L264">
        <f t="shared" si="188"/>
        <v>1.1963718883346055</v>
      </c>
      <c r="M264">
        <v>311</v>
      </c>
      <c r="N264">
        <v>40.776299999999999</v>
      </c>
      <c r="O264">
        <v>15.6868</v>
      </c>
      <c r="P264">
        <f t="shared" ref="P264" si="200">N264+O264</f>
        <v>56.463099999999997</v>
      </c>
      <c r="Q264">
        <v>56.454300000000003</v>
      </c>
      <c r="R264">
        <v>56.145000000000003</v>
      </c>
      <c r="S264">
        <f t="shared" ref="S264" si="201">R264-N264</f>
        <v>15.368700000000004</v>
      </c>
      <c r="T264">
        <f t="shared" ref="T264" si="202">((O264-S264)/O264)*100</f>
        <v>2.027819568044444</v>
      </c>
      <c r="U264">
        <f t="shared" si="196"/>
        <v>0.18112782721777765</v>
      </c>
      <c r="V264">
        <f>L264*(U264/100)</f>
        <v>2.1669624067847679E-3</v>
      </c>
    </row>
    <row r="265" spans="1:30">
      <c r="A265">
        <v>264</v>
      </c>
      <c r="B265" s="5" t="s">
        <v>33</v>
      </c>
      <c r="C265">
        <v>2</v>
      </c>
      <c r="D265" t="s">
        <v>28</v>
      </c>
      <c r="E265">
        <v>2</v>
      </c>
      <c r="F265" s="5" t="s">
        <v>27</v>
      </c>
      <c r="G265">
        <v>1.2738</v>
      </c>
      <c r="H265">
        <v>72.476600000000005</v>
      </c>
      <c r="I265">
        <f>H265-G265</f>
        <v>71.202800000000011</v>
      </c>
      <c r="J265">
        <v>5</v>
      </c>
      <c r="K265">
        <f t="shared" si="192"/>
        <v>57.157143750000003</v>
      </c>
      <c r="L265">
        <f t="shared" si="188"/>
        <v>1.2457375461488138</v>
      </c>
      <c r="M265" s="4"/>
      <c r="N265" s="4"/>
      <c r="O265" s="4"/>
      <c r="P265" s="4"/>
      <c r="Q265" s="4"/>
      <c r="R265" s="4"/>
      <c r="W265">
        <v>0</v>
      </c>
      <c r="X265">
        <v>2.3161999999999998</v>
      </c>
      <c r="Y265">
        <v>26.433499999999999</v>
      </c>
      <c r="Z265">
        <v>26.120799999999999</v>
      </c>
      <c r="AA265">
        <v>13.190200000000001</v>
      </c>
      <c r="AB265">
        <v>2.1472000000000002</v>
      </c>
      <c r="AC265">
        <v>0.16470000000000001</v>
      </c>
      <c r="AD265">
        <v>0.28010000000000002</v>
      </c>
    </row>
    <row r="266" spans="1:30">
      <c r="A266">
        <v>265</v>
      </c>
      <c r="B266" s="5" t="s">
        <v>33</v>
      </c>
      <c r="C266">
        <v>2</v>
      </c>
      <c r="D266" t="s">
        <v>29</v>
      </c>
      <c r="E266">
        <v>2</v>
      </c>
      <c r="F266" s="5" t="s">
        <v>24</v>
      </c>
      <c r="G266">
        <v>1.2659</v>
      </c>
      <c r="H266">
        <v>79.831100000000006</v>
      </c>
      <c r="I266">
        <f>H266-G266</f>
        <v>78.565200000000004</v>
      </c>
      <c r="J266">
        <v>5</v>
      </c>
      <c r="K266">
        <f t="shared" si="192"/>
        <v>57.157143750000003</v>
      </c>
      <c r="L266">
        <f t="shared" si="188"/>
        <v>1.374547341687276</v>
      </c>
      <c r="M266">
        <v>155</v>
      </c>
      <c r="N266">
        <v>42.410600000000002</v>
      </c>
      <c r="O266">
        <v>15.4892</v>
      </c>
      <c r="P266">
        <f t="shared" ref="P266" si="203">N266+O266</f>
        <v>57.899799999999999</v>
      </c>
      <c r="Q266">
        <v>57.888399999999997</v>
      </c>
      <c r="R266">
        <v>57.6038</v>
      </c>
      <c r="S266">
        <f t="shared" ref="S266" si="204">R266-N266</f>
        <v>15.193199999999997</v>
      </c>
      <c r="T266">
        <f t="shared" ref="T266" si="205">((O266-S266)/O266)*100</f>
        <v>1.9110089610825796</v>
      </c>
      <c r="U266">
        <f t="shared" si="196"/>
        <v>0.13440358443303191</v>
      </c>
      <c r="V266">
        <f>L266*(U266/100)</f>
        <v>1.8474408969566536E-3</v>
      </c>
    </row>
    <row r="267" spans="1:30">
      <c r="A267">
        <v>266</v>
      </c>
      <c r="B267" s="5" t="s">
        <v>33</v>
      </c>
      <c r="C267">
        <v>2</v>
      </c>
      <c r="D267" s="5" t="s">
        <v>29</v>
      </c>
      <c r="E267">
        <v>2</v>
      </c>
      <c r="F267" s="5" t="s">
        <v>25</v>
      </c>
      <c r="G267">
        <v>1.2742</v>
      </c>
      <c r="H267">
        <v>80.884500000000003</v>
      </c>
      <c r="I267">
        <f>H267-G267</f>
        <v>79.610300000000009</v>
      </c>
      <c r="J267">
        <v>5</v>
      </c>
      <c r="K267">
        <f t="shared" si="192"/>
        <v>57.157143750000003</v>
      </c>
      <c r="L267">
        <f t="shared" si="188"/>
        <v>1.3928320202319417</v>
      </c>
      <c r="M267" s="4"/>
      <c r="N267" s="4"/>
      <c r="O267" s="4"/>
      <c r="P267" s="4"/>
      <c r="Q267" s="4"/>
      <c r="R267" s="4"/>
      <c r="W267">
        <v>0</v>
      </c>
      <c r="X267">
        <v>0.50419999999999998</v>
      </c>
      <c r="Y267">
        <v>21.154599999999999</v>
      </c>
      <c r="Z267">
        <v>36.424999999999997</v>
      </c>
      <c r="AA267">
        <v>18.218800000000002</v>
      </c>
      <c r="AB267">
        <v>2.5689000000000002</v>
      </c>
      <c r="AC267">
        <v>0.22189999999999999</v>
      </c>
      <c r="AD267">
        <v>0.26279999999999998</v>
      </c>
    </row>
    <row r="268" spans="1:30">
      <c r="A268">
        <v>267</v>
      </c>
      <c r="B268" s="5" t="s">
        <v>33</v>
      </c>
      <c r="C268">
        <v>2</v>
      </c>
      <c r="D268" t="s">
        <v>29</v>
      </c>
      <c r="E268">
        <v>2</v>
      </c>
      <c r="F268" s="5" t="s">
        <v>26</v>
      </c>
      <c r="G268">
        <v>1.2653000000000001</v>
      </c>
      <c r="H268">
        <v>79.983800000000002</v>
      </c>
      <c r="I268">
        <f>H268-G268</f>
        <v>78.718500000000006</v>
      </c>
      <c r="J268">
        <v>5</v>
      </c>
      <c r="K268">
        <f t="shared" si="192"/>
        <v>57.157143750000003</v>
      </c>
      <c r="L268">
        <f t="shared" si="188"/>
        <v>1.3772294211255089</v>
      </c>
      <c r="M268">
        <v>204</v>
      </c>
      <c r="N268">
        <v>39.584000000000003</v>
      </c>
      <c r="O268">
        <v>15.6366</v>
      </c>
      <c r="P268">
        <f t="shared" ref="P268" si="206">N268+O268</f>
        <v>55.220600000000005</v>
      </c>
      <c r="Q268">
        <v>55.214300000000001</v>
      </c>
      <c r="R268">
        <v>54.920900000000003</v>
      </c>
      <c r="S268">
        <f t="shared" ref="S268" si="207">R268-N268</f>
        <v>15.3369</v>
      </c>
      <c r="T268">
        <f t="shared" ref="T268" si="208">((O268-S268)/O268)*100</f>
        <v>1.9166570737884172</v>
      </c>
      <c r="U268">
        <f t="shared" si="196"/>
        <v>0.1366628295153669</v>
      </c>
      <c r="V268">
        <f>L268*(U268/100)</f>
        <v>1.8821606958282287E-3</v>
      </c>
    </row>
    <row r="269" spans="1:30">
      <c r="A269">
        <v>268</v>
      </c>
      <c r="B269" s="5" t="s">
        <v>33</v>
      </c>
      <c r="C269">
        <v>2</v>
      </c>
      <c r="D269" s="5" t="s">
        <v>29</v>
      </c>
      <c r="E269">
        <v>2</v>
      </c>
      <c r="F269" s="5" t="s">
        <v>27</v>
      </c>
      <c r="G269">
        <v>1.2765</v>
      </c>
      <c r="H269">
        <v>87.776799999999994</v>
      </c>
      <c r="I269">
        <f>H269-G269</f>
        <v>86.500299999999996</v>
      </c>
      <c r="J269">
        <v>5</v>
      </c>
      <c r="K269">
        <f t="shared" si="192"/>
        <v>57.157143750000003</v>
      </c>
      <c r="L269">
        <f t="shared" si="188"/>
        <v>1.5133768821329527</v>
      </c>
      <c r="M269" s="4"/>
      <c r="N269" s="4"/>
      <c r="O269" s="4"/>
      <c r="P269" s="4"/>
      <c r="Q269" s="4"/>
      <c r="R269" s="4"/>
      <c r="W269">
        <v>0</v>
      </c>
      <c r="X269">
        <v>1.1196999999999999</v>
      </c>
      <c r="Y269">
        <v>23.970800000000001</v>
      </c>
      <c r="Z269">
        <v>36.740900000000003</v>
      </c>
      <c r="AA269">
        <v>20.9772</v>
      </c>
      <c r="AB269">
        <v>2.7576000000000001</v>
      </c>
      <c r="AC269">
        <v>0.22109999999999999</v>
      </c>
      <c r="AD269">
        <v>0.23519999999999999</v>
      </c>
    </row>
    <row r="270" spans="1:30">
      <c r="A270">
        <v>269</v>
      </c>
      <c r="B270" s="5" t="s">
        <v>33</v>
      </c>
      <c r="C270">
        <v>2</v>
      </c>
      <c r="D270" t="s">
        <v>30</v>
      </c>
      <c r="E270">
        <v>2</v>
      </c>
      <c r="F270" s="5" t="s">
        <v>24</v>
      </c>
      <c r="G270">
        <v>1.2639</v>
      </c>
      <c r="H270">
        <v>82.0398</v>
      </c>
      <c r="I270">
        <f>H270-G270</f>
        <v>80.775899999999993</v>
      </c>
      <c r="J270">
        <v>5</v>
      </c>
      <c r="K270">
        <f t="shared" si="192"/>
        <v>57.157143750000003</v>
      </c>
      <c r="L270">
        <f t="shared" si="188"/>
        <v>1.4132249216879385</v>
      </c>
      <c r="M270">
        <v>302</v>
      </c>
      <c r="N270">
        <v>38.887</v>
      </c>
      <c r="O270">
        <v>15.162699999999999</v>
      </c>
      <c r="P270">
        <f t="shared" ref="P270" si="209">N270+O270</f>
        <v>54.049700000000001</v>
      </c>
      <c r="Q270">
        <v>54.042700000000004</v>
      </c>
      <c r="R270">
        <v>53.747300000000003</v>
      </c>
      <c r="S270">
        <f t="shared" ref="S270" si="210">R270-N270</f>
        <v>14.860300000000002</v>
      </c>
      <c r="T270">
        <f t="shared" ref="T270" si="211">((O270-S270)/O270)*100</f>
        <v>1.9943677577212298</v>
      </c>
      <c r="U270">
        <f t="shared" si="196"/>
        <v>0.16774710308849194</v>
      </c>
      <c r="V270">
        <f>L270*(U270/100)</f>
        <v>2.3706438662561258E-3</v>
      </c>
    </row>
    <row r="271" spans="1:30">
      <c r="A271">
        <v>270</v>
      </c>
      <c r="B271" s="5" t="s">
        <v>33</v>
      </c>
      <c r="C271">
        <v>2</v>
      </c>
      <c r="D271" s="5" t="s">
        <v>30</v>
      </c>
      <c r="E271">
        <v>2</v>
      </c>
      <c r="F271" s="5" t="s">
        <v>25</v>
      </c>
      <c r="G271">
        <v>1.2725</v>
      </c>
      <c r="H271">
        <v>87.068600000000004</v>
      </c>
      <c r="I271">
        <f>H271-G271</f>
        <v>85.79610000000001</v>
      </c>
      <c r="J271">
        <v>5</v>
      </c>
      <c r="K271">
        <f t="shared" si="192"/>
        <v>57.157143750000003</v>
      </c>
      <c r="L271">
        <f t="shared" si="188"/>
        <v>1.5010564624303853</v>
      </c>
      <c r="M271" s="4"/>
      <c r="N271" s="4"/>
      <c r="O271" s="4"/>
      <c r="P271" s="4"/>
      <c r="Q271" s="4"/>
      <c r="R271" s="4"/>
      <c r="W271">
        <v>0</v>
      </c>
      <c r="X271">
        <v>1.7991999999999999</v>
      </c>
      <c r="Y271">
        <v>16.392099999999999</v>
      </c>
      <c r="Z271">
        <v>37.491900000000001</v>
      </c>
      <c r="AA271">
        <v>24.573499999999999</v>
      </c>
      <c r="AB271">
        <v>3.3767</v>
      </c>
      <c r="AC271">
        <v>0.32240000000000002</v>
      </c>
      <c r="AD271">
        <v>0.42399999999999999</v>
      </c>
    </row>
    <row r="272" spans="1:30">
      <c r="A272">
        <v>271</v>
      </c>
      <c r="B272" s="5" t="s">
        <v>33</v>
      </c>
      <c r="C272">
        <v>2</v>
      </c>
      <c r="D272" t="s">
        <v>30</v>
      </c>
      <c r="E272">
        <v>2</v>
      </c>
      <c r="F272" s="5" t="s">
        <v>26</v>
      </c>
      <c r="G272">
        <v>1.2596000000000001</v>
      </c>
      <c r="H272">
        <v>65.991699999999994</v>
      </c>
      <c r="I272">
        <f>H272-G272</f>
        <v>64.732099999999988</v>
      </c>
      <c r="J272">
        <v>5</v>
      </c>
      <c r="K272">
        <f t="shared" si="192"/>
        <v>57.157143750000003</v>
      </c>
      <c r="L272">
        <f t="shared" si="188"/>
        <v>1.1325286001542019</v>
      </c>
      <c r="M272">
        <v>101</v>
      </c>
      <c r="N272">
        <v>38.366700000000002</v>
      </c>
      <c r="O272">
        <v>15.4116</v>
      </c>
      <c r="P272">
        <f t="shared" ref="P272" si="212">N272+O272</f>
        <v>53.778300000000002</v>
      </c>
      <c r="Q272">
        <v>53.766500000000001</v>
      </c>
      <c r="R272">
        <v>53.4358</v>
      </c>
      <c r="S272">
        <f t="shared" ref="S272" si="213">R272-N272</f>
        <v>15.069099999999999</v>
      </c>
      <c r="T272">
        <f t="shared" ref="T272" si="214">((O272-S272)/O272)*100</f>
        <v>2.2223519946014765</v>
      </c>
      <c r="U272">
        <f t="shared" si="196"/>
        <v>0.25894079784059065</v>
      </c>
      <c r="V272">
        <f>L272*(U272/100)</f>
        <v>2.9325785930121627E-3</v>
      </c>
    </row>
    <row r="273" spans="1:30">
      <c r="A273">
        <v>272</v>
      </c>
      <c r="B273" s="5" t="s">
        <v>33</v>
      </c>
      <c r="C273">
        <v>2</v>
      </c>
      <c r="D273" s="5" t="s">
        <v>30</v>
      </c>
      <c r="E273">
        <v>2</v>
      </c>
      <c r="F273" s="5" t="s">
        <v>27</v>
      </c>
      <c r="G273">
        <v>1.2531000000000001</v>
      </c>
      <c r="H273">
        <v>62.9587</v>
      </c>
      <c r="I273">
        <f>H273-G273</f>
        <v>61.705599999999997</v>
      </c>
      <c r="J273">
        <v>5</v>
      </c>
      <c r="K273">
        <f t="shared" si="192"/>
        <v>57.157143750000003</v>
      </c>
      <c r="L273">
        <f t="shared" si="188"/>
        <v>1.0795780886094399</v>
      </c>
      <c r="M273" s="4"/>
      <c r="N273" s="4"/>
      <c r="O273" s="4"/>
      <c r="P273" s="4"/>
      <c r="Q273" s="4"/>
      <c r="R273" s="4"/>
      <c r="W273">
        <v>0</v>
      </c>
      <c r="X273">
        <v>3.7759</v>
      </c>
      <c r="Y273">
        <v>20.749700000000001</v>
      </c>
      <c r="Z273">
        <v>21.995899999999999</v>
      </c>
      <c r="AA273">
        <v>11.3908</v>
      </c>
      <c r="AB273">
        <v>1.8160000000000001</v>
      </c>
      <c r="AC273">
        <v>0.28460000000000002</v>
      </c>
      <c r="AD273">
        <v>0.87929999999999997</v>
      </c>
    </row>
    <row r="274" spans="1:30">
      <c r="A274">
        <v>273</v>
      </c>
      <c r="B274" s="5" t="s">
        <v>33</v>
      </c>
      <c r="C274">
        <v>2</v>
      </c>
      <c r="D274" t="s">
        <v>23</v>
      </c>
      <c r="E274">
        <v>3</v>
      </c>
      <c r="F274" s="5" t="s">
        <v>24</v>
      </c>
      <c r="G274">
        <v>1.2669999999999999</v>
      </c>
      <c r="H274">
        <v>79.553399999999996</v>
      </c>
      <c r="I274">
        <f>H274-G274</f>
        <v>78.2864</v>
      </c>
      <c r="J274">
        <v>5</v>
      </c>
      <c r="K274">
        <f t="shared" si="192"/>
        <v>57.157143750000003</v>
      </c>
      <c r="L274">
        <f t="shared" si="188"/>
        <v>1.3696695612086109</v>
      </c>
      <c r="M274">
        <v>175</v>
      </c>
      <c r="N274">
        <v>40.465800000000002</v>
      </c>
      <c r="O274">
        <v>15.566000000000001</v>
      </c>
      <c r="P274">
        <f t="shared" ref="P274" si="215">N274+O274</f>
        <v>56.031800000000004</v>
      </c>
      <c r="Q274">
        <v>56.026299999999999</v>
      </c>
      <c r="R274">
        <v>55.703200000000002</v>
      </c>
      <c r="S274">
        <f t="shared" ref="S274" si="216">R274-N274</f>
        <v>15.237400000000001</v>
      </c>
      <c r="T274">
        <f t="shared" ref="T274" si="217">((O274-S274)/O274)*100</f>
        <v>2.1110111782089156</v>
      </c>
      <c r="U274">
        <f t="shared" si="196"/>
        <v>0.21440447128356632</v>
      </c>
      <c r="V274">
        <f>L274*(U274/100)</f>
        <v>2.9366327810412653E-3</v>
      </c>
    </row>
    <row r="275" spans="1:30">
      <c r="A275">
        <v>274</v>
      </c>
      <c r="B275" s="5" t="s">
        <v>33</v>
      </c>
      <c r="C275">
        <v>2</v>
      </c>
      <c r="D275" t="s">
        <v>23</v>
      </c>
      <c r="E275">
        <v>3</v>
      </c>
      <c r="F275" s="5" t="s">
        <v>25</v>
      </c>
      <c r="G275">
        <v>1.2794000000000001</v>
      </c>
      <c r="H275">
        <v>82.063199999999995</v>
      </c>
      <c r="I275">
        <f>H275-G275</f>
        <v>80.783799999999999</v>
      </c>
      <c r="J275">
        <v>5</v>
      </c>
      <c r="K275">
        <f t="shared" si="192"/>
        <v>57.157143750000003</v>
      </c>
      <c r="L275">
        <f t="shared" si="188"/>
        <v>1.413363137131918</v>
      </c>
      <c r="M275" s="4"/>
      <c r="N275" s="4"/>
      <c r="O275" s="4"/>
      <c r="P275" s="4"/>
      <c r="Q275" s="4"/>
      <c r="R275" s="4"/>
      <c r="W275">
        <v>0</v>
      </c>
      <c r="X275">
        <v>1.0598000000000001</v>
      </c>
      <c r="Y275">
        <v>23.4711</v>
      </c>
      <c r="Z275">
        <v>30.078700000000001</v>
      </c>
      <c r="AA275">
        <v>19.1981</v>
      </c>
      <c r="AB275">
        <v>4.1523000000000003</v>
      </c>
      <c r="AC275">
        <v>0.45469999999999999</v>
      </c>
      <c r="AD275">
        <v>0.88580000000000003</v>
      </c>
    </row>
    <row r="276" spans="1:30">
      <c r="A276">
        <v>275</v>
      </c>
      <c r="B276" s="5" t="s">
        <v>33</v>
      </c>
      <c r="C276">
        <v>2</v>
      </c>
      <c r="D276" t="s">
        <v>23</v>
      </c>
      <c r="E276">
        <v>3</v>
      </c>
      <c r="F276" s="5" t="s">
        <v>26</v>
      </c>
      <c r="G276">
        <v>1.2624</v>
      </c>
      <c r="H276">
        <v>78.125600000000006</v>
      </c>
      <c r="I276">
        <f>H276-G276</f>
        <v>76.863200000000006</v>
      </c>
      <c r="J276">
        <v>5</v>
      </c>
      <c r="K276">
        <f t="shared" si="192"/>
        <v>57.157143750000003</v>
      </c>
      <c r="L276">
        <f t="shared" si="188"/>
        <v>1.3447697865413368</v>
      </c>
      <c r="M276">
        <v>4</v>
      </c>
      <c r="N276">
        <v>37.549199999999999</v>
      </c>
      <c r="O276">
        <v>15.4598</v>
      </c>
      <c r="P276">
        <f t="shared" ref="P276" si="218">N276+O276</f>
        <v>53.009</v>
      </c>
      <c r="Q276">
        <v>53.004100000000001</v>
      </c>
      <c r="R276">
        <v>52.678100000000001</v>
      </c>
      <c r="S276">
        <f t="shared" ref="S276" si="219">R276-N276</f>
        <v>15.128900000000002</v>
      </c>
      <c r="T276">
        <f t="shared" ref="T276" si="220">((O276-S276)/O276)*100</f>
        <v>2.1403899144878844</v>
      </c>
      <c r="U276">
        <f t="shared" si="196"/>
        <v>0.22615596579515385</v>
      </c>
      <c r="V276">
        <f>L276*(U276/100)</f>
        <v>3.0412770984739892E-3</v>
      </c>
    </row>
    <row r="277" spans="1:30">
      <c r="A277">
        <v>276</v>
      </c>
      <c r="B277" s="5" t="s">
        <v>33</v>
      </c>
      <c r="C277">
        <v>2</v>
      </c>
      <c r="D277" t="s">
        <v>23</v>
      </c>
      <c r="E277">
        <v>3</v>
      </c>
      <c r="F277" s="5" t="s">
        <v>27</v>
      </c>
      <c r="G277">
        <v>1.2682</v>
      </c>
      <c r="H277">
        <v>83.571700000000007</v>
      </c>
      <c r="I277">
        <f>H277-G277</f>
        <v>82.303500000000014</v>
      </c>
      <c r="J277">
        <v>5</v>
      </c>
      <c r="K277">
        <f t="shared" si="192"/>
        <v>57.157143750000003</v>
      </c>
      <c r="L277">
        <f t="shared" si="188"/>
        <v>1.4399512396908394</v>
      </c>
      <c r="M277" s="4"/>
      <c r="N277" s="4"/>
      <c r="O277" s="4"/>
      <c r="P277" s="4"/>
      <c r="Q277" s="4"/>
      <c r="R277" s="4"/>
      <c r="W277">
        <v>0</v>
      </c>
      <c r="X277">
        <v>1.1938</v>
      </c>
      <c r="Y277">
        <v>22.782800000000002</v>
      </c>
      <c r="Z277">
        <v>32.564999999999998</v>
      </c>
      <c r="AA277">
        <v>19.763100000000001</v>
      </c>
      <c r="AB277">
        <v>3.9281999999999999</v>
      </c>
      <c r="AC277">
        <v>0.43419999999999997</v>
      </c>
      <c r="AD277">
        <v>0.99260000000000004</v>
      </c>
    </row>
    <row r="278" spans="1:30">
      <c r="A278">
        <v>277</v>
      </c>
      <c r="B278" s="5" t="s">
        <v>33</v>
      </c>
      <c r="C278">
        <v>2</v>
      </c>
      <c r="D278" t="s">
        <v>28</v>
      </c>
      <c r="E278">
        <v>3</v>
      </c>
      <c r="F278" s="5" t="s">
        <v>24</v>
      </c>
      <c r="G278">
        <v>1.2670999999999999</v>
      </c>
      <c r="H278">
        <v>70.392700000000005</v>
      </c>
      <c r="I278">
        <f>H278-G278</f>
        <v>69.125600000000006</v>
      </c>
      <c r="J278">
        <v>5</v>
      </c>
      <c r="K278">
        <f t="shared" si="192"/>
        <v>57.157143750000003</v>
      </c>
      <c r="L278">
        <f t="shared" si="188"/>
        <v>1.2093956321951445</v>
      </c>
      <c r="M278">
        <v>202</v>
      </c>
      <c r="N278">
        <v>39.3733</v>
      </c>
      <c r="O278">
        <v>15.136799999999999</v>
      </c>
      <c r="P278">
        <f t="shared" ref="P278" si="221">N278+O278</f>
        <v>54.510100000000001</v>
      </c>
      <c r="Q278">
        <v>54.502899999999997</v>
      </c>
      <c r="R278">
        <v>54.207500000000003</v>
      </c>
      <c r="S278">
        <f t="shared" ref="S278" si="222">R278-N278</f>
        <v>14.834200000000003</v>
      </c>
      <c r="T278">
        <f t="shared" ref="T278" si="223">((O278-S278)/O278)*100</f>
        <v>1.9991015274033908</v>
      </c>
      <c r="U278">
        <f t="shared" si="196"/>
        <v>0.1696406109613563</v>
      </c>
      <c r="V278">
        <f>L278*(U278/100)</f>
        <v>2.0516261393958004E-3</v>
      </c>
    </row>
    <row r="279" spans="1:30">
      <c r="A279">
        <v>278</v>
      </c>
      <c r="B279" s="5" t="s">
        <v>33</v>
      </c>
      <c r="C279">
        <v>2</v>
      </c>
      <c r="D279" t="s">
        <v>28</v>
      </c>
      <c r="E279">
        <v>3</v>
      </c>
      <c r="F279" s="5" t="s">
        <v>25</v>
      </c>
      <c r="G279">
        <v>1.2625</v>
      </c>
      <c r="H279">
        <v>91.270099999999999</v>
      </c>
      <c r="I279">
        <f>H279-G279</f>
        <v>90.007599999999996</v>
      </c>
      <c r="J279">
        <v>5</v>
      </c>
      <c r="K279">
        <f t="shared" si="192"/>
        <v>57.157143750000003</v>
      </c>
      <c r="L279">
        <f t="shared" si="188"/>
        <v>1.5747392905720554</v>
      </c>
      <c r="M279" s="4"/>
      <c r="N279" s="4"/>
      <c r="O279" s="4"/>
      <c r="P279" s="4"/>
      <c r="Q279" s="4"/>
      <c r="R279" s="4"/>
      <c r="W279">
        <v>0</v>
      </c>
      <c r="X279">
        <v>0.42680000000000001</v>
      </c>
      <c r="Y279">
        <v>18.119299999999999</v>
      </c>
      <c r="Z279">
        <v>38.249000000000002</v>
      </c>
      <c r="AA279">
        <v>26.447299999999998</v>
      </c>
      <c r="AB279">
        <v>5.1856</v>
      </c>
      <c r="AC279">
        <v>0.51160000000000005</v>
      </c>
      <c r="AD279">
        <v>0.61460000000000004</v>
      </c>
    </row>
    <row r="280" spans="1:30">
      <c r="A280">
        <v>279</v>
      </c>
      <c r="B280" s="5" t="s">
        <v>33</v>
      </c>
      <c r="C280">
        <v>2</v>
      </c>
      <c r="D280" t="s">
        <v>28</v>
      </c>
      <c r="E280">
        <v>3</v>
      </c>
      <c r="F280" s="5" t="s">
        <v>26</v>
      </c>
      <c r="G280">
        <v>1.2632000000000001</v>
      </c>
      <c r="H280">
        <v>82.773899999999998</v>
      </c>
      <c r="I280">
        <f>H280-G280</f>
        <v>81.5107</v>
      </c>
      <c r="J280">
        <v>5</v>
      </c>
      <c r="K280">
        <f t="shared" si="192"/>
        <v>57.157143750000003</v>
      </c>
      <c r="L280">
        <f t="shared" si="188"/>
        <v>1.4260807075406037</v>
      </c>
      <c r="M280">
        <v>103</v>
      </c>
      <c r="N280">
        <v>38.908000000000001</v>
      </c>
      <c r="O280">
        <v>15.320399999999999</v>
      </c>
      <c r="P280">
        <f t="shared" ref="P280" si="224">N280+O280</f>
        <v>54.228400000000001</v>
      </c>
      <c r="Q280">
        <v>54.220799999999997</v>
      </c>
      <c r="R280">
        <v>53.925899999999999</v>
      </c>
      <c r="S280">
        <f t="shared" ref="S280" si="225">R280-N280</f>
        <v>15.017899999999997</v>
      </c>
      <c r="T280">
        <f t="shared" ref="T280" si="226">((O280-S280)/O280)*100</f>
        <v>1.9744915276363673</v>
      </c>
      <c r="U280">
        <f t="shared" si="196"/>
        <v>0.1597966110545469</v>
      </c>
      <c r="V280">
        <f>L280*(U280/100)</f>
        <v>2.2788286415525889E-3</v>
      </c>
    </row>
    <row r="281" spans="1:30">
      <c r="A281">
        <v>280</v>
      </c>
      <c r="B281" s="5" t="s">
        <v>33</v>
      </c>
      <c r="C281">
        <v>2</v>
      </c>
      <c r="D281" t="s">
        <v>28</v>
      </c>
      <c r="E281">
        <v>3</v>
      </c>
      <c r="F281" s="5" t="s">
        <v>27</v>
      </c>
      <c r="G281">
        <v>1.2743</v>
      </c>
      <c r="H281">
        <v>75.064599999999999</v>
      </c>
      <c r="I281">
        <f>H281-G281</f>
        <v>73.790300000000002</v>
      </c>
      <c r="J281">
        <v>5</v>
      </c>
      <c r="K281">
        <f t="shared" si="192"/>
        <v>57.157143750000003</v>
      </c>
      <c r="L281">
        <f t="shared" si="188"/>
        <v>1.2910074779585186</v>
      </c>
      <c r="M281" s="4"/>
      <c r="N281" s="4"/>
      <c r="O281" s="4"/>
      <c r="P281" s="4"/>
      <c r="Q281" s="4"/>
      <c r="R281" s="4"/>
      <c r="W281">
        <v>0</v>
      </c>
      <c r="X281">
        <v>0.16839999999999999</v>
      </c>
      <c r="Y281">
        <v>13.9696</v>
      </c>
      <c r="Z281">
        <v>32.133200000000002</v>
      </c>
      <c r="AA281">
        <v>22.1999</v>
      </c>
      <c r="AB281">
        <v>3.9430999999999998</v>
      </c>
      <c r="AC281">
        <v>0.3851</v>
      </c>
      <c r="AD281">
        <v>0.58489999999999998</v>
      </c>
    </row>
    <row r="282" spans="1:30">
      <c r="A282">
        <v>281</v>
      </c>
      <c r="B282" s="5" t="s">
        <v>33</v>
      </c>
      <c r="C282">
        <v>2</v>
      </c>
      <c r="D282" t="s">
        <v>29</v>
      </c>
      <c r="E282">
        <v>3</v>
      </c>
      <c r="F282" s="5" t="s">
        <v>24</v>
      </c>
      <c r="G282">
        <v>2.4929999999999999</v>
      </c>
      <c r="H282">
        <v>75.886200000000002</v>
      </c>
      <c r="I282">
        <f>H282-G282</f>
        <v>73.393200000000007</v>
      </c>
      <c r="J282">
        <v>5</v>
      </c>
      <c r="K282">
        <f t="shared" si="192"/>
        <v>57.157143750000003</v>
      </c>
      <c r="L282">
        <f t="shared" si="188"/>
        <v>1.2840599649453268</v>
      </c>
      <c r="M282">
        <v>120</v>
      </c>
      <c r="N282">
        <v>37.7166</v>
      </c>
      <c r="O282">
        <v>15.3865</v>
      </c>
      <c r="P282">
        <f t="shared" ref="P282" si="227">N282+O282</f>
        <v>53.103099999999998</v>
      </c>
      <c r="Q282">
        <v>53.095100000000002</v>
      </c>
      <c r="R282">
        <v>52.792999999999999</v>
      </c>
      <c r="S282">
        <f t="shared" ref="S282" si="228">R282-N282</f>
        <v>15.0764</v>
      </c>
      <c r="T282">
        <f t="shared" ref="T282" si="229">((O282-S282)/O282)*100</f>
        <v>2.0154031131186447</v>
      </c>
      <c r="U282">
        <f t="shared" si="196"/>
        <v>0.17616124524745791</v>
      </c>
      <c r="V282">
        <f>L282*(U282/100)</f>
        <v>2.2620160239717594E-3</v>
      </c>
    </row>
    <row r="283" spans="1:30">
      <c r="A283">
        <v>282</v>
      </c>
      <c r="B283" s="5" t="s">
        <v>33</v>
      </c>
      <c r="C283">
        <v>2</v>
      </c>
      <c r="D283" s="5" t="s">
        <v>29</v>
      </c>
      <c r="E283">
        <v>3</v>
      </c>
      <c r="F283" s="5" t="s">
        <v>25</v>
      </c>
      <c r="G283">
        <v>2.4617</v>
      </c>
      <c r="H283">
        <v>73.672399999999996</v>
      </c>
      <c r="I283">
        <f>H283-G283</f>
        <v>71.210700000000003</v>
      </c>
      <c r="J283">
        <v>5</v>
      </c>
      <c r="K283">
        <f t="shared" si="192"/>
        <v>57.157143750000003</v>
      </c>
      <c r="L283">
        <f t="shared" si="188"/>
        <v>1.2458757615927931</v>
      </c>
      <c r="M283" s="4"/>
      <c r="N283" s="4"/>
      <c r="O283" s="4"/>
      <c r="P283" s="4"/>
      <c r="Q283" s="4"/>
      <c r="R283" s="4"/>
      <c r="W283">
        <v>0</v>
      </c>
      <c r="X283">
        <v>0.1227</v>
      </c>
      <c r="Y283">
        <v>14.852600000000001</v>
      </c>
      <c r="Z283">
        <v>31.792300000000001</v>
      </c>
      <c r="AA283">
        <v>21.264500000000002</v>
      </c>
      <c r="AB283">
        <v>2.8813</v>
      </c>
      <c r="AC283">
        <v>0.23019999999999999</v>
      </c>
      <c r="AD283">
        <v>0.28050000000000003</v>
      </c>
    </row>
    <row r="284" spans="1:30">
      <c r="A284">
        <v>283</v>
      </c>
      <c r="B284" s="5" t="s">
        <v>33</v>
      </c>
      <c r="C284">
        <v>2</v>
      </c>
      <c r="D284" t="s">
        <v>29</v>
      </c>
      <c r="E284">
        <v>3</v>
      </c>
      <c r="F284" s="5" t="s">
        <v>26</v>
      </c>
      <c r="G284">
        <v>2.5062000000000002</v>
      </c>
      <c r="H284">
        <v>82.230900000000005</v>
      </c>
      <c r="I284">
        <f>H284-G284</f>
        <v>79.724699999999999</v>
      </c>
      <c r="J284">
        <v>5</v>
      </c>
      <c r="K284">
        <f t="shared" si="192"/>
        <v>57.157143750000003</v>
      </c>
      <c r="L284">
        <f t="shared" si="188"/>
        <v>1.3948335198257698</v>
      </c>
      <c r="M284">
        <v>209</v>
      </c>
      <c r="N284">
        <v>40.549100000000003</v>
      </c>
      <c r="O284">
        <v>15.3567</v>
      </c>
      <c r="P284">
        <f t="shared" ref="P284" si="230">N284+O284</f>
        <v>55.905799999999999</v>
      </c>
      <c r="Q284">
        <v>55.9011</v>
      </c>
      <c r="R284">
        <v>55.615299999999998</v>
      </c>
      <c r="S284">
        <f t="shared" ref="S284" si="231">R284-N284</f>
        <v>15.066199999999995</v>
      </c>
      <c r="T284">
        <f t="shared" ref="T284" si="232">((O284-S284)/O284)*100</f>
        <v>1.8916824578197471</v>
      </c>
      <c r="U284">
        <f t="shared" si="196"/>
        <v>0.12667298312789887</v>
      </c>
      <c r="V284">
        <f>L284*(U284/100)</f>
        <v>1.7668772292311751E-3</v>
      </c>
    </row>
    <row r="285" spans="1:30">
      <c r="A285">
        <v>284</v>
      </c>
      <c r="B285" s="5" t="s">
        <v>33</v>
      </c>
      <c r="C285">
        <v>2</v>
      </c>
      <c r="D285" s="5" t="s">
        <v>29</v>
      </c>
      <c r="E285">
        <v>3</v>
      </c>
      <c r="F285" s="5" t="s">
        <v>27</v>
      </c>
      <c r="G285">
        <v>2.5356999999999998</v>
      </c>
      <c r="H285">
        <v>82.157399999999996</v>
      </c>
      <c r="I285">
        <f>H285-G285</f>
        <v>79.62169999999999</v>
      </c>
      <c r="J285">
        <v>5</v>
      </c>
      <c r="K285">
        <f t="shared" si="192"/>
        <v>57.157143750000003</v>
      </c>
      <c r="L285">
        <f t="shared" si="188"/>
        <v>1.3930314703662914</v>
      </c>
      <c r="M285" s="4"/>
      <c r="N285" s="4"/>
      <c r="O285" s="4"/>
      <c r="P285" s="4"/>
      <c r="Q285" s="4"/>
      <c r="R285" s="4"/>
      <c r="W285">
        <v>0</v>
      </c>
      <c r="X285">
        <v>1.448</v>
      </c>
      <c r="Y285">
        <v>21.2028</v>
      </c>
      <c r="Z285">
        <v>34.282299999999999</v>
      </c>
      <c r="AA285">
        <v>18.625599999999999</v>
      </c>
      <c r="AB285">
        <v>2.1362000000000001</v>
      </c>
      <c r="AC285">
        <v>0.14369999999999999</v>
      </c>
      <c r="AD285">
        <v>0.18459999999999999</v>
      </c>
    </row>
    <row r="286" spans="1:30">
      <c r="A286">
        <v>285</v>
      </c>
      <c r="B286" s="5" t="s">
        <v>33</v>
      </c>
      <c r="C286">
        <v>2</v>
      </c>
      <c r="D286" t="s">
        <v>30</v>
      </c>
      <c r="E286">
        <v>3</v>
      </c>
      <c r="F286" s="5" t="s">
        <v>24</v>
      </c>
      <c r="G286">
        <v>2.52</v>
      </c>
      <c r="H286">
        <v>84.116299999999995</v>
      </c>
      <c r="I286">
        <f>H286-G286</f>
        <v>81.596299999999999</v>
      </c>
      <c r="J286">
        <v>5</v>
      </c>
      <c r="K286">
        <f t="shared" si="192"/>
        <v>57.157143750000003</v>
      </c>
      <c r="L286">
        <f t="shared" si="188"/>
        <v>1.4275783331108107</v>
      </c>
      <c r="M286">
        <v>100</v>
      </c>
      <c r="N286">
        <v>40.507300000000001</v>
      </c>
      <c r="O286">
        <v>15.111370000000001</v>
      </c>
      <c r="P286">
        <f t="shared" ref="P286" si="233">N286+O286</f>
        <v>55.618670000000002</v>
      </c>
      <c r="Q286">
        <v>55.615200000000002</v>
      </c>
      <c r="R286">
        <v>55.337800000000001</v>
      </c>
      <c r="S286">
        <f t="shared" ref="S286" si="234">R286-N286</f>
        <v>14.830500000000001</v>
      </c>
      <c r="T286">
        <f t="shared" ref="T286" si="235">((O286-S286)/O286)*100</f>
        <v>1.8586666860781</v>
      </c>
      <c r="U286">
        <f t="shared" si="196"/>
        <v>0.11346667443124003</v>
      </c>
      <c r="V286">
        <f>L286*(U286/100)</f>
        <v>1.6198256594817668E-3</v>
      </c>
    </row>
    <row r="287" spans="1:30">
      <c r="A287">
        <v>286</v>
      </c>
      <c r="B287" s="5" t="s">
        <v>33</v>
      </c>
      <c r="C287">
        <v>2</v>
      </c>
      <c r="D287" s="5" t="s">
        <v>30</v>
      </c>
      <c r="E287">
        <v>3</v>
      </c>
      <c r="F287" s="5" t="s">
        <v>25</v>
      </c>
      <c r="G287">
        <v>2.5103</v>
      </c>
      <c r="H287">
        <v>90.98</v>
      </c>
      <c r="I287">
        <f>H287-G287</f>
        <v>88.469700000000003</v>
      </c>
      <c r="J287">
        <v>5</v>
      </c>
      <c r="K287">
        <f t="shared" si="192"/>
        <v>57.157143750000003</v>
      </c>
      <c r="L287">
        <f t="shared" si="188"/>
        <v>1.5478327676232071</v>
      </c>
      <c r="M287" s="4"/>
      <c r="N287" s="4"/>
      <c r="O287" s="4"/>
      <c r="P287" s="4"/>
      <c r="Q287" s="4"/>
      <c r="R287" s="4"/>
      <c r="W287">
        <v>0</v>
      </c>
      <c r="X287">
        <v>0.26090000000000002</v>
      </c>
      <c r="Y287">
        <v>15.1579</v>
      </c>
      <c r="Z287">
        <v>44.106000000000002</v>
      </c>
      <c r="AA287">
        <v>24.5276</v>
      </c>
      <c r="AB287">
        <v>3.1234999999999999</v>
      </c>
      <c r="AC287">
        <v>0.2676</v>
      </c>
      <c r="AD287">
        <v>0.4012</v>
      </c>
    </row>
    <row r="288" spans="1:30">
      <c r="A288">
        <v>287</v>
      </c>
      <c r="B288" s="5" t="s">
        <v>33</v>
      </c>
      <c r="C288">
        <v>2</v>
      </c>
      <c r="D288" t="s">
        <v>30</v>
      </c>
      <c r="E288">
        <v>3</v>
      </c>
      <c r="F288" s="5" t="s">
        <v>26</v>
      </c>
      <c r="G288">
        <v>2.5596000000000001</v>
      </c>
      <c r="H288">
        <v>72.028199999999998</v>
      </c>
      <c r="I288">
        <f>H288-G288</f>
        <v>69.468599999999995</v>
      </c>
      <c r="J288">
        <v>5</v>
      </c>
      <c r="K288">
        <f t="shared" si="192"/>
        <v>57.157143750000003</v>
      </c>
      <c r="L288">
        <f t="shared" si="188"/>
        <v>1.2153966318514646</v>
      </c>
      <c r="M288">
        <v>301</v>
      </c>
      <c r="N288">
        <v>38.7545</v>
      </c>
      <c r="O288">
        <v>15.2942</v>
      </c>
      <c r="P288">
        <f t="shared" ref="P288" si="236">N288+O288</f>
        <v>54.048699999999997</v>
      </c>
      <c r="Q288">
        <v>54.0426</v>
      </c>
      <c r="R288">
        <v>53.753300000000003</v>
      </c>
      <c r="S288">
        <f t="shared" ref="S288" si="237">R288-N288</f>
        <v>14.998800000000003</v>
      </c>
      <c r="T288">
        <f t="shared" ref="T288" si="238">((O288-S288)/O288)*100</f>
        <v>1.9314511383400061</v>
      </c>
      <c r="U288">
        <f t="shared" si="196"/>
        <v>0.1425804553360025</v>
      </c>
      <c r="V288">
        <f>L288*(U288/100)</f>
        <v>1.7329180518322563E-3</v>
      </c>
    </row>
    <row r="289" spans="1:30">
      <c r="A289">
        <v>288</v>
      </c>
      <c r="B289" s="5" t="s">
        <v>33</v>
      </c>
      <c r="C289">
        <v>2</v>
      </c>
      <c r="D289" t="s">
        <v>30</v>
      </c>
      <c r="E289">
        <v>3</v>
      </c>
      <c r="F289" s="5" t="s">
        <v>24</v>
      </c>
      <c r="G289">
        <v>2.5560999999999998</v>
      </c>
      <c r="H289">
        <v>84.327399999999997</v>
      </c>
      <c r="I289">
        <f>H289-G289</f>
        <v>81.771299999999997</v>
      </c>
      <c r="J289">
        <v>5</v>
      </c>
      <c r="K289">
        <f t="shared" si="192"/>
        <v>57.157143750000003</v>
      </c>
      <c r="L289">
        <f t="shared" si="188"/>
        <v>1.4306400676293414</v>
      </c>
      <c r="M289" s="4"/>
      <c r="N289" s="4"/>
      <c r="O289" s="4"/>
      <c r="P289" s="4"/>
      <c r="Q289" s="4"/>
      <c r="R289" s="4"/>
      <c r="W289">
        <v>0</v>
      </c>
      <c r="X289">
        <v>0.95499999999999996</v>
      </c>
      <c r="Y289">
        <v>18.827100000000002</v>
      </c>
      <c r="Z289">
        <v>36.553699999999999</v>
      </c>
      <c r="AA289">
        <v>21.148099999999999</v>
      </c>
      <c r="AB289">
        <v>2.6147</v>
      </c>
      <c r="AC289">
        <v>0.19670000000000001</v>
      </c>
      <c r="AD289">
        <v>0.27729999999999999</v>
      </c>
    </row>
    <row r="290" spans="1:30" s="12" customFormat="1">
      <c r="A290" s="12">
        <v>289</v>
      </c>
      <c r="B290" s="12" t="s">
        <v>22</v>
      </c>
      <c r="C290" s="12">
        <v>3</v>
      </c>
      <c r="D290" s="12" t="s">
        <v>23</v>
      </c>
      <c r="E290" s="12">
        <v>4</v>
      </c>
      <c r="F290" s="12" t="s">
        <v>24</v>
      </c>
      <c r="G290" s="12">
        <v>1.2682</v>
      </c>
      <c r="H290" s="12">
        <v>85.915099999999995</v>
      </c>
      <c r="I290" s="12">
        <f>H290-G290</f>
        <v>84.646900000000002</v>
      </c>
      <c r="J290" s="12">
        <v>5</v>
      </c>
      <c r="K290" s="12">
        <f t="shared" si="192"/>
        <v>57.157143750000003</v>
      </c>
      <c r="L290" s="12">
        <f t="shared" si="188"/>
        <v>1.4809504892378391</v>
      </c>
      <c r="S290" s="12">
        <f t="shared" ref="S290" si="239">R290-N290</f>
        <v>0</v>
      </c>
      <c r="T290" s="12" t="e">
        <f t="shared" ref="T290" si="240">((O290-S290)/O290)*100</f>
        <v>#DIV/0!</v>
      </c>
      <c r="U290" s="12" t="e">
        <f t="shared" si="196"/>
        <v>#DIV/0!</v>
      </c>
      <c r="V290" s="12" t="e">
        <f>L290*(U290/100)</f>
        <v>#DIV/0!</v>
      </c>
    </row>
    <row r="291" spans="1:30" s="12" customFormat="1">
      <c r="A291" s="12">
        <v>290</v>
      </c>
      <c r="B291" s="12" t="s">
        <v>22</v>
      </c>
      <c r="C291" s="12">
        <v>3</v>
      </c>
      <c r="D291" s="12" t="s">
        <v>23</v>
      </c>
      <c r="E291" s="12">
        <v>4</v>
      </c>
      <c r="F291" s="12" t="s">
        <v>25</v>
      </c>
      <c r="G291" s="12">
        <v>1.2658</v>
      </c>
      <c r="H291" s="12">
        <v>92.450500000000005</v>
      </c>
      <c r="I291" s="12">
        <f>H291-G291</f>
        <v>91.184700000000007</v>
      </c>
      <c r="J291" s="12">
        <v>5</v>
      </c>
      <c r="K291" s="12">
        <f t="shared" si="192"/>
        <v>57.157143750000003</v>
      </c>
      <c r="L291" s="12">
        <f t="shared" si="188"/>
        <v>1.5953333917249846</v>
      </c>
      <c r="M291" s="13"/>
      <c r="N291" s="13"/>
      <c r="O291" s="13"/>
      <c r="P291" s="13"/>
      <c r="Q291" s="13"/>
      <c r="R291" s="13"/>
      <c r="W291" s="12">
        <v>0</v>
      </c>
      <c r="X291" s="12">
        <v>0.32290000000000002</v>
      </c>
      <c r="Y291" s="12">
        <v>17.504200000000001</v>
      </c>
      <c r="Z291" s="12">
        <v>37.211300000000001</v>
      </c>
      <c r="AA291" s="12">
        <v>31.3034</v>
      </c>
      <c r="AB291" s="12">
        <v>3.7233000000000001</v>
      </c>
      <c r="AC291" s="12">
        <v>0.27900000000000003</v>
      </c>
      <c r="AD291" s="12">
        <v>0.2089</v>
      </c>
    </row>
    <row r="292" spans="1:30" s="12" customFormat="1">
      <c r="A292" s="12">
        <v>291</v>
      </c>
      <c r="B292" s="12" t="s">
        <v>22</v>
      </c>
      <c r="C292" s="12">
        <v>3</v>
      </c>
      <c r="D292" s="12" t="s">
        <v>23</v>
      </c>
      <c r="E292" s="12">
        <v>4</v>
      </c>
      <c r="F292" s="12" t="s">
        <v>26</v>
      </c>
      <c r="G292" s="12">
        <v>1.2575000000000001</v>
      </c>
      <c r="H292" s="12">
        <v>83.591899999999995</v>
      </c>
      <c r="I292" s="12">
        <f>H292-G292</f>
        <v>82.334400000000002</v>
      </c>
      <c r="J292" s="12">
        <v>5</v>
      </c>
      <c r="K292" s="12">
        <f t="shared" si="192"/>
        <v>57.157143750000003</v>
      </c>
      <c r="L292" s="12">
        <f t="shared" si="188"/>
        <v>1.4404918545286827</v>
      </c>
      <c r="S292" s="12">
        <f t="shared" ref="S292" si="241">R292-N292</f>
        <v>0</v>
      </c>
      <c r="T292" s="12" t="e">
        <f t="shared" ref="T292" si="242">((O292-S292)/O292)*100</f>
        <v>#DIV/0!</v>
      </c>
      <c r="U292" s="12" t="e">
        <f t="shared" si="196"/>
        <v>#DIV/0!</v>
      </c>
      <c r="V292" s="12" t="e">
        <f>L292*(U292/100)</f>
        <v>#DIV/0!</v>
      </c>
    </row>
    <row r="293" spans="1:30" s="12" customFormat="1">
      <c r="A293" s="12">
        <v>292</v>
      </c>
      <c r="B293" s="12" t="s">
        <v>22</v>
      </c>
      <c r="C293" s="12">
        <v>3</v>
      </c>
      <c r="D293" s="12" t="s">
        <v>23</v>
      </c>
      <c r="E293" s="12">
        <v>4</v>
      </c>
      <c r="F293" s="12" t="s">
        <v>27</v>
      </c>
      <c r="G293" s="12">
        <v>1.2753000000000001</v>
      </c>
      <c r="H293" s="12">
        <v>92.578699999999998</v>
      </c>
      <c r="I293" s="12">
        <f>H293-G293</f>
        <v>91.303399999999996</v>
      </c>
      <c r="J293" s="12">
        <v>5</v>
      </c>
      <c r="K293" s="12">
        <f t="shared" si="192"/>
        <v>57.157143750000003</v>
      </c>
      <c r="L293" s="12">
        <f t="shared" si="188"/>
        <v>1.5974101225098392</v>
      </c>
      <c r="M293" s="13"/>
      <c r="N293" s="13"/>
      <c r="O293" s="13"/>
      <c r="P293" s="13"/>
      <c r="Q293" s="13"/>
      <c r="R293" s="13"/>
      <c r="W293" s="12">
        <v>0</v>
      </c>
      <c r="X293" s="12">
        <v>0.21609999999999999</v>
      </c>
      <c r="Y293" s="12">
        <v>18.038499999999999</v>
      </c>
      <c r="Z293" s="12">
        <v>37.9</v>
      </c>
      <c r="AA293" s="12">
        <v>31.444800000000001</v>
      </c>
      <c r="AB293" s="12">
        <v>2.8671000000000002</v>
      </c>
      <c r="AC293" s="12">
        <v>0.16650000000000001</v>
      </c>
      <c r="AD293" s="12">
        <v>0.15820000000000001</v>
      </c>
    </row>
    <row r="294" spans="1:30" s="12" customFormat="1">
      <c r="A294" s="12">
        <v>293</v>
      </c>
      <c r="B294" s="12" t="s">
        <v>22</v>
      </c>
      <c r="C294" s="12">
        <v>3</v>
      </c>
      <c r="D294" s="12" t="s">
        <v>28</v>
      </c>
      <c r="E294" s="12">
        <v>4</v>
      </c>
      <c r="F294" s="12" t="s">
        <v>24</v>
      </c>
      <c r="G294" s="12">
        <v>1.2788999999999999</v>
      </c>
      <c r="H294" s="12">
        <v>86.432500000000005</v>
      </c>
      <c r="I294" s="12">
        <f>H294-G294</f>
        <v>85.153600000000012</v>
      </c>
      <c r="J294" s="12">
        <v>5</v>
      </c>
      <c r="K294" s="12">
        <f t="shared" si="192"/>
        <v>57.157143750000003</v>
      </c>
      <c r="L294" s="12">
        <f t="shared" si="188"/>
        <v>1.4898155228409224</v>
      </c>
      <c r="S294" s="12">
        <f t="shared" ref="S294" si="243">R294-N294</f>
        <v>0</v>
      </c>
      <c r="T294" s="12" t="e">
        <f t="shared" ref="T294" si="244">((O294-S294)/O294)*100</f>
        <v>#DIV/0!</v>
      </c>
      <c r="U294" s="12" t="e">
        <f t="shared" si="196"/>
        <v>#DIV/0!</v>
      </c>
      <c r="V294" s="12" t="e">
        <f>L294*(U294/100)</f>
        <v>#DIV/0!</v>
      </c>
    </row>
    <row r="295" spans="1:30" s="12" customFormat="1">
      <c r="A295" s="12">
        <v>294</v>
      </c>
      <c r="B295" s="12" t="s">
        <v>22</v>
      </c>
      <c r="C295" s="12">
        <v>3</v>
      </c>
      <c r="D295" s="12" t="s">
        <v>28</v>
      </c>
      <c r="E295" s="12">
        <v>4</v>
      </c>
      <c r="F295" s="12" t="s">
        <v>25</v>
      </c>
      <c r="G295" s="12">
        <v>1.2866</v>
      </c>
      <c r="H295" s="12">
        <v>77.498400000000004</v>
      </c>
      <c r="I295" s="12">
        <f>H295-G295</f>
        <v>76.211800000000011</v>
      </c>
      <c r="J295" s="12">
        <v>5</v>
      </c>
      <c r="K295" s="12">
        <f t="shared" si="192"/>
        <v>57.157143750000003</v>
      </c>
      <c r="L295" s="12">
        <f t="shared" si="188"/>
        <v>1.3333731358820744</v>
      </c>
      <c r="M295" s="13"/>
      <c r="N295" s="13"/>
      <c r="O295" s="13"/>
      <c r="P295" s="13"/>
      <c r="Q295" s="13"/>
      <c r="R295" s="13"/>
      <c r="W295" s="12">
        <v>0</v>
      </c>
      <c r="X295" s="12">
        <v>0.29599999999999999</v>
      </c>
      <c r="Y295" s="12">
        <v>15.992100000000001</v>
      </c>
      <c r="Z295" s="12">
        <v>26.9161</v>
      </c>
      <c r="AA295" s="12">
        <v>25.770700000000001</v>
      </c>
      <c r="AB295" s="12">
        <v>5.1689999999999996</v>
      </c>
      <c r="AC295" s="12">
        <v>0.59689999999999999</v>
      </c>
      <c r="AD295" s="12">
        <v>0.53620000000000001</v>
      </c>
    </row>
    <row r="296" spans="1:30" s="12" customFormat="1">
      <c r="A296" s="12">
        <v>295</v>
      </c>
      <c r="B296" s="12" t="s">
        <v>22</v>
      </c>
      <c r="C296" s="12">
        <v>3</v>
      </c>
      <c r="D296" s="12" t="s">
        <v>28</v>
      </c>
      <c r="E296" s="12">
        <v>4</v>
      </c>
      <c r="F296" s="12" t="s">
        <v>26</v>
      </c>
      <c r="G296" s="12">
        <v>1.2767999999999999</v>
      </c>
      <c r="H296" s="12">
        <v>85.871300000000005</v>
      </c>
      <c r="I296" s="12">
        <f>H296-G296</f>
        <v>84.594500000000011</v>
      </c>
      <c r="J296" s="12">
        <v>5</v>
      </c>
      <c r="K296" s="12">
        <f t="shared" si="192"/>
        <v>57.157143750000003</v>
      </c>
      <c r="L296" s="12">
        <f t="shared" si="188"/>
        <v>1.480033718444862</v>
      </c>
      <c r="S296" s="12">
        <f t="shared" ref="S296" si="245">R296-N296</f>
        <v>0</v>
      </c>
      <c r="T296" s="12" t="e">
        <f t="shared" ref="T296" si="246">((O296-S296)/O296)*100</f>
        <v>#DIV/0!</v>
      </c>
      <c r="U296" s="12" t="e">
        <f t="shared" si="196"/>
        <v>#DIV/0!</v>
      </c>
      <c r="V296" s="12" t="e">
        <f>L296*(U296/100)</f>
        <v>#DIV/0!</v>
      </c>
    </row>
    <row r="297" spans="1:30" s="12" customFormat="1">
      <c r="A297" s="12">
        <v>296</v>
      </c>
      <c r="B297" s="12" t="s">
        <v>22</v>
      </c>
      <c r="C297" s="12">
        <v>3</v>
      </c>
      <c r="D297" s="12" t="s">
        <v>28</v>
      </c>
      <c r="E297" s="12">
        <v>4</v>
      </c>
      <c r="F297" s="12" t="s">
        <v>27</v>
      </c>
      <c r="G297" s="12">
        <v>1.2963</v>
      </c>
      <c r="H297" s="12">
        <v>82.386700000000005</v>
      </c>
      <c r="I297" s="12">
        <f>H297-G297</f>
        <v>81.090400000000002</v>
      </c>
      <c r="J297" s="12">
        <v>5</v>
      </c>
      <c r="K297" s="12">
        <f t="shared" si="192"/>
        <v>57.157143750000003</v>
      </c>
      <c r="L297" s="12">
        <f t="shared" si="188"/>
        <v>1.4187272960083839</v>
      </c>
      <c r="M297" s="13"/>
      <c r="N297" s="13"/>
      <c r="O297" s="13"/>
      <c r="P297" s="13"/>
      <c r="Q297" s="13"/>
      <c r="R297" s="13"/>
      <c r="W297" s="12">
        <v>0</v>
      </c>
      <c r="X297" s="12">
        <v>0.35249999999999998</v>
      </c>
      <c r="Y297" s="12">
        <v>18.568100000000001</v>
      </c>
      <c r="Z297" s="12">
        <v>30.488</v>
      </c>
      <c r="AA297" s="12">
        <v>26.108499999999999</v>
      </c>
      <c r="AB297" s="12">
        <v>4.4257999999999997</v>
      </c>
      <c r="AC297" s="12">
        <v>0.43070000000000003</v>
      </c>
      <c r="AD297" s="12">
        <v>0.31769999999999998</v>
      </c>
    </row>
    <row r="298" spans="1:30" s="12" customFormat="1">
      <c r="A298" s="12">
        <v>297</v>
      </c>
      <c r="B298" s="12" t="s">
        <v>22</v>
      </c>
      <c r="C298" s="12">
        <v>3</v>
      </c>
      <c r="D298" s="12" t="s">
        <v>29</v>
      </c>
      <c r="E298" s="12">
        <v>4</v>
      </c>
      <c r="F298" s="12" t="s">
        <v>24</v>
      </c>
      <c r="G298" s="12">
        <v>1.2716000000000001</v>
      </c>
      <c r="H298" s="12">
        <v>87.462400000000002</v>
      </c>
      <c r="I298" s="12">
        <f>H298-G298</f>
        <v>86.190799999999996</v>
      </c>
      <c r="J298" s="12">
        <v>5</v>
      </c>
      <c r="K298" s="12">
        <f t="shared" si="192"/>
        <v>57.157143750000003</v>
      </c>
      <c r="L298" s="12">
        <f t="shared" si="188"/>
        <v>1.5079619859416085</v>
      </c>
      <c r="S298" s="12">
        <f t="shared" ref="S298" si="247">R298-N298</f>
        <v>0</v>
      </c>
      <c r="T298" s="12" t="e">
        <f t="shared" ref="T298" si="248">((O298-S298)/O298)*100</f>
        <v>#DIV/0!</v>
      </c>
      <c r="U298" s="12" t="e">
        <f t="shared" si="196"/>
        <v>#DIV/0!</v>
      </c>
      <c r="V298" s="12" t="e">
        <f>L298*(U298/100)</f>
        <v>#DIV/0!</v>
      </c>
    </row>
    <row r="299" spans="1:30" s="12" customFormat="1">
      <c r="A299" s="12">
        <v>298</v>
      </c>
      <c r="B299" s="12" t="s">
        <v>22</v>
      </c>
      <c r="C299" s="12">
        <v>3</v>
      </c>
      <c r="D299" s="14" t="s">
        <v>29</v>
      </c>
      <c r="E299" s="12">
        <v>4</v>
      </c>
      <c r="F299" s="12" t="s">
        <v>25</v>
      </c>
      <c r="G299" s="12">
        <v>1.2811999999999999</v>
      </c>
      <c r="H299" s="12">
        <v>93.788200000000003</v>
      </c>
      <c r="I299" s="12">
        <f>H299-G299</f>
        <v>92.507000000000005</v>
      </c>
      <c r="J299" s="12">
        <v>5</v>
      </c>
      <c r="K299" s="12">
        <f t="shared" si="192"/>
        <v>57.157143750000003</v>
      </c>
      <c r="L299" s="12">
        <f t="shared" si="188"/>
        <v>1.6184678577470031</v>
      </c>
      <c r="M299" s="13"/>
      <c r="N299" s="13"/>
      <c r="O299" s="13"/>
      <c r="P299" s="13"/>
      <c r="Q299" s="13"/>
      <c r="R299" s="13"/>
      <c r="W299" s="12">
        <v>0</v>
      </c>
      <c r="X299" s="12">
        <v>0.27450000000000002</v>
      </c>
      <c r="Y299" s="12">
        <v>38.410400000000003</v>
      </c>
      <c r="Z299" s="12">
        <v>37.786900000000003</v>
      </c>
      <c r="AA299" s="12">
        <v>14.9885</v>
      </c>
      <c r="AB299" s="12">
        <v>0.73429999999999995</v>
      </c>
      <c r="AC299" s="12">
        <v>3.9399999999999998E-2</v>
      </c>
      <c r="AD299" s="12">
        <v>3.1300000000000001E-2</v>
      </c>
    </row>
    <row r="300" spans="1:30" s="12" customFormat="1">
      <c r="A300" s="12">
        <v>299</v>
      </c>
      <c r="B300" s="12" t="s">
        <v>22</v>
      </c>
      <c r="C300" s="12">
        <v>3</v>
      </c>
      <c r="D300" s="12" t="s">
        <v>29</v>
      </c>
      <c r="E300" s="12">
        <v>4</v>
      </c>
      <c r="F300" s="12" t="s">
        <v>26</v>
      </c>
      <c r="G300" s="12">
        <v>1.2808999999999999</v>
      </c>
      <c r="H300" s="12">
        <v>80.472399999999993</v>
      </c>
      <c r="I300" s="12">
        <f>H300-G300</f>
        <v>79.191499999999991</v>
      </c>
      <c r="J300" s="12">
        <v>5</v>
      </c>
      <c r="K300" s="12">
        <f t="shared" si="192"/>
        <v>57.157143750000003</v>
      </c>
      <c r="L300" s="12">
        <f t="shared" si="188"/>
        <v>1.3855048521384519</v>
      </c>
      <c r="S300" s="12">
        <f t="shared" ref="S300" si="249">R300-N300</f>
        <v>0</v>
      </c>
      <c r="T300" s="12" t="e">
        <f t="shared" ref="T300" si="250">((O300-S300)/O300)*100</f>
        <v>#DIV/0!</v>
      </c>
      <c r="U300" s="12" t="e">
        <f t="shared" si="196"/>
        <v>#DIV/0!</v>
      </c>
      <c r="V300" s="12" t="e">
        <f>L300*(U300/100)</f>
        <v>#DIV/0!</v>
      </c>
    </row>
    <row r="301" spans="1:30" s="12" customFormat="1">
      <c r="A301" s="12">
        <v>300</v>
      </c>
      <c r="B301" s="12" t="s">
        <v>22</v>
      </c>
      <c r="C301" s="12">
        <v>3</v>
      </c>
      <c r="D301" s="14" t="s">
        <v>29</v>
      </c>
      <c r="E301" s="12">
        <v>4</v>
      </c>
      <c r="F301" s="12" t="s">
        <v>27</v>
      </c>
      <c r="G301" s="12">
        <v>1.2763</v>
      </c>
      <c r="H301" s="12">
        <v>87.679000000000002</v>
      </c>
      <c r="I301" s="12">
        <f>H301-G301</f>
        <v>86.402699999999996</v>
      </c>
      <c r="J301" s="12">
        <v>5</v>
      </c>
      <c r="K301" s="12">
        <f t="shared" si="192"/>
        <v>57.157143750000003</v>
      </c>
      <c r="L301" s="12">
        <f t="shared" si="188"/>
        <v>1.5116693090529036</v>
      </c>
      <c r="M301" s="13"/>
      <c r="N301" s="13"/>
      <c r="O301" s="13"/>
      <c r="P301" s="13"/>
      <c r="Q301" s="13"/>
      <c r="R301" s="13"/>
      <c r="W301" s="12">
        <v>0</v>
      </c>
      <c r="X301" s="12">
        <v>0.90110000000000001</v>
      </c>
      <c r="Y301" s="12">
        <v>36.801699999999997</v>
      </c>
      <c r="Z301" s="12">
        <v>31.787099999999999</v>
      </c>
      <c r="AA301" s="12">
        <v>15.4193</v>
      </c>
      <c r="AB301" s="12">
        <v>0.93710000000000004</v>
      </c>
      <c r="AC301" s="12">
        <v>5.4100000000000002E-2</v>
      </c>
      <c r="AD301" s="12">
        <v>4.7E-2</v>
      </c>
    </row>
    <row r="302" spans="1:30" s="12" customFormat="1">
      <c r="A302" s="12">
        <v>301</v>
      </c>
      <c r="B302" s="12" t="s">
        <v>22</v>
      </c>
      <c r="C302" s="12">
        <v>3</v>
      </c>
      <c r="D302" s="12" t="s">
        <v>30</v>
      </c>
      <c r="E302" s="12">
        <v>4</v>
      </c>
      <c r="F302" s="12" t="s">
        <v>24</v>
      </c>
      <c r="G302" s="12">
        <v>1.2845</v>
      </c>
      <c r="H302" s="12">
        <v>88.471299999999999</v>
      </c>
      <c r="I302" s="12">
        <f>H302-G302</f>
        <v>87.186800000000005</v>
      </c>
      <c r="J302" s="12">
        <v>5</v>
      </c>
      <c r="K302" s="12">
        <f t="shared" si="192"/>
        <v>57.157143750000003</v>
      </c>
      <c r="L302" s="12">
        <f t="shared" si="188"/>
        <v>1.5253876292585036</v>
      </c>
      <c r="S302" s="12">
        <f t="shared" ref="S302" si="251">R302-N302</f>
        <v>0</v>
      </c>
      <c r="T302" s="12" t="e">
        <f t="shared" ref="T302" si="252">((O302-S302)/O302)*100</f>
        <v>#DIV/0!</v>
      </c>
      <c r="U302" s="12" t="e">
        <f t="shared" si="196"/>
        <v>#DIV/0!</v>
      </c>
      <c r="V302" s="12" t="e">
        <f>L302*(U302/100)</f>
        <v>#DIV/0!</v>
      </c>
    </row>
    <row r="303" spans="1:30" s="12" customFormat="1">
      <c r="A303" s="12">
        <v>302</v>
      </c>
      <c r="B303" s="12" t="s">
        <v>22</v>
      </c>
      <c r="C303" s="12">
        <v>3</v>
      </c>
      <c r="D303" s="14" t="s">
        <v>30</v>
      </c>
      <c r="E303" s="12">
        <v>4</v>
      </c>
      <c r="F303" s="12" t="s">
        <v>25</v>
      </c>
      <c r="G303" s="12">
        <v>1.2867</v>
      </c>
      <c r="H303" s="12">
        <v>95.627099999999999</v>
      </c>
      <c r="I303" s="12">
        <f>H303-G303</f>
        <v>94.340400000000002</v>
      </c>
      <c r="J303" s="12">
        <v>5</v>
      </c>
      <c r="K303" s="12">
        <f t="shared" si="192"/>
        <v>57.157143750000003</v>
      </c>
      <c r="L303" s="12">
        <f t="shared" si="188"/>
        <v>1.6505443381257132</v>
      </c>
      <c r="M303" s="13"/>
      <c r="N303" s="13"/>
      <c r="O303" s="13"/>
      <c r="P303" s="13"/>
      <c r="Q303" s="13"/>
      <c r="R303" s="13"/>
      <c r="W303" s="12">
        <v>0</v>
      </c>
      <c r="X303" s="12">
        <v>0.78239999999999998</v>
      </c>
      <c r="Y303" s="12">
        <v>45.400799999999997</v>
      </c>
      <c r="Z303" s="12">
        <v>34.240200000000002</v>
      </c>
      <c r="AA303" s="12">
        <v>12.5321</v>
      </c>
      <c r="AB303" s="12">
        <v>0.81320000000000003</v>
      </c>
      <c r="AC303" s="12">
        <v>6.4199999999999993E-2</v>
      </c>
      <c r="AD303" s="12">
        <v>0.1201</v>
      </c>
    </row>
    <row r="304" spans="1:30" s="12" customFormat="1">
      <c r="A304" s="12">
        <v>303</v>
      </c>
      <c r="B304" s="12" t="s">
        <v>22</v>
      </c>
      <c r="C304" s="12">
        <v>3</v>
      </c>
      <c r="D304" s="12" t="s">
        <v>30</v>
      </c>
      <c r="E304" s="12">
        <v>4</v>
      </c>
      <c r="F304" s="12" t="s">
        <v>26</v>
      </c>
      <c r="G304" s="12">
        <v>1.2865</v>
      </c>
      <c r="H304" s="12">
        <v>89.059200000000004</v>
      </c>
      <c r="I304" s="12">
        <f>H304-G304</f>
        <v>87.7727</v>
      </c>
      <c r="J304" s="12">
        <v>5</v>
      </c>
      <c r="K304" s="12">
        <f t="shared" si="192"/>
        <v>57.157143750000003</v>
      </c>
      <c r="L304" s="12">
        <f t="shared" si="188"/>
        <v>1.5356383164265446</v>
      </c>
      <c r="S304" s="12">
        <f t="shared" ref="S304" si="253">R304-N304</f>
        <v>0</v>
      </c>
      <c r="T304" s="12" t="e">
        <f t="shared" ref="T304" si="254">((O304-S304)/O304)*100</f>
        <v>#DIV/0!</v>
      </c>
      <c r="U304" s="12" t="e">
        <f t="shared" si="196"/>
        <v>#DIV/0!</v>
      </c>
      <c r="V304" s="12" t="e">
        <f>L304*(U304/100)</f>
        <v>#DIV/0!</v>
      </c>
    </row>
    <row r="305" spans="1:30" s="12" customFormat="1">
      <c r="A305" s="12">
        <v>304</v>
      </c>
      <c r="B305" s="12" t="s">
        <v>22</v>
      </c>
      <c r="C305" s="12">
        <v>3</v>
      </c>
      <c r="D305" s="14" t="s">
        <v>30</v>
      </c>
      <c r="E305" s="12">
        <v>4</v>
      </c>
      <c r="F305" s="12" t="s">
        <v>27</v>
      </c>
      <c r="G305" s="12">
        <v>1.2883</v>
      </c>
      <c r="H305" s="12">
        <v>85.377700000000004</v>
      </c>
      <c r="I305" s="12">
        <f>H305-G305</f>
        <v>84.089399999999998</v>
      </c>
      <c r="J305" s="12">
        <v>5</v>
      </c>
      <c r="K305" s="12">
        <f t="shared" si="192"/>
        <v>57.157143750000003</v>
      </c>
      <c r="L305" s="12">
        <f t="shared" si="188"/>
        <v>1.4711966778430909</v>
      </c>
      <c r="M305" s="13"/>
      <c r="N305" s="13"/>
      <c r="O305" s="13"/>
      <c r="P305" s="13"/>
      <c r="Q305" s="13"/>
      <c r="R305" s="13"/>
      <c r="W305" s="12">
        <v>0</v>
      </c>
      <c r="X305" s="12">
        <v>0.78979999999999995</v>
      </c>
      <c r="Y305" s="12">
        <v>42.502299999999998</v>
      </c>
      <c r="Z305" s="12">
        <v>26.06</v>
      </c>
      <c r="AA305" s="12">
        <v>10.755800000000001</v>
      </c>
      <c r="AB305" s="12">
        <v>0.78949999999999998</v>
      </c>
      <c r="AC305" s="12">
        <v>6.4500000000000002E-2</v>
      </c>
      <c r="AD305" s="12">
        <v>8.3400000000000002E-2</v>
      </c>
    </row>
    <row r="306" spans="1:30" s="12" customFormat="1">
      <c r="A306" s="12">
        <v>305</v>
      </c>
      <c r="B306" s="12" t="s">
        <v>22</v>
      </c>
      <c r="C306" s="12">
        <v>3</v>
      </c>
      <c r="D306" s="12" t="s">
        <v>23</v>
      </c>
      <c r="E306" s="12">
        <v>5</v>
      </c>
      <c r="F306" s="14" t="s">
        <v>24</v>
      </c>
      <c r="G306" s="12">
        <v>1.2809999999999999</v>
      </c>
      <c r="H306" s="12">
        <v>83.798500000000004</v>
      </c>
      <c r="I306" s="12">
        <f>H306-G306</f>
        <v>82.517499999999998</v>
      </c>
      <c r="J306" s="12">
        <v>5</v>
      </c>
      <c r="K306" s="12">
        <f t="shared" si="192"/>
        <v>57.157143750000003</v>
      </c>
      <c r="L306" s="12">
        <f t="shared" si="188"/>
        <v>1.4436953036163567</v>
      </c>
      <c r="S306" s="12">
        <f t="shared" ref="S306" si="255">R306-N306</f>
        <v>0</v>
      </c>
      <c r="T306" s="12" t="e">
        <f t="shared" ref="T306" si="256">((O306-S306)/O306)*100</f>
        <v>#DIV/0!</v>
      </c>
      <c r="U306" s="12" t="e">
        <f t="shared" si="196"/>
        <v>#DIV/0!</v>
      </c>
      <c r="V306" s="12" t="e">
        <f>L306*(U306/100)</f>
        <v>#DIV/0!</v>
      </c>
    </row>
    <row r="307" spans="1:30" s="12" customFormat="1">
      <c r="A307" s="12">
        <v>306</v>
      </c>
      <c r="B307" s="12" t="s">
        <v>22</v>
      </c>
      <c r="C307" s="12">
        <v>3</v>
      </c>
      <c r="D307" s="12" t="s">
        <v>23</v>
      </c>
      <c r="E307" s="12">
        <v>5</v>
      </c>
      <c r="F307" s="14" t="s">
        <v>25</v>
      </c>
      <c r="G307" s="12">
        <v>1.2822</v>
      </c>
      <c r="H307" s="12">
        <v>90.254599999999996</v>
      </c>
      <c r="I307" s="12">
        <f>H307-G307</f>
        <v>88.972399999999993</v>
      </c>
      <c r="J307" s="12">
        <v>5</v>
      </c>
      <c r="K307" s="12">
        <f t="shared" si="192"/>
        <v>57.157143750000003</v>
      </c>
      <c r="L307" s="12">
        <f t="shared" si="188"/>
        <v>1.5566278187230094</v>
      </c>
      <c r="M307" s="13"/>
      <c r="N307" s="13"/>
      <c r="O307" s="13"/>
      <c r="P307" s="13"/>
      <c r="Q307" s="13"/>
      <c r="R307" s="13"/>
      <c r="W307" s="12">
        <v>0</v>
      </c>
      <c r="X307" s="12">
        <v>0.3679</v>
      </c>
      <c r="Y307" s="12">
        <v>24.255700000000001</v>
      </c>
      <c r="Z307" s="12">
        <v>31.454599999999999</v>
      </c>
      <c r="AA307" s="12">
        <v>26.255199999999999</v>
      </c>
      <c r="AB307" s="12">
        <v>4.7416</v>
      </c>
      <c r="AC307" s="12">
        <v>0.69550000000000001</v>
      </c>
      <c r="AD307" s="12">
        <v>4.3529999999999999E-2</v>
      </c>
    </row>
    <row r="308" spans="1:30" s="12" customFormat="1">
      <c r="A308" s="12">
        <v>307</v>
      </c>
      <c r="B308" s="12" t="s">
        <v>22</v>
      </c>
      <c r="C308" s="12">
        <v>3</v>
      </c>
      <c r="D308" s="12" t="s">
        <v>23</v>
      </c>
      <c r="E308" s="12">
        <v>5</v>
      </c>
      <c r="F308" s="14" t="s">
        <v>26</v>
      </c>
      <c r="G308" s="12">
        <v>1.2861</v>
      </c>
      <c r="H308" s="12">
        <v>81.286799999999999</v>
      </c>
      <c r="I308" s="12">
        <f>H308-G308</f>
        <v>80.000699999999995</v>
      </c>
      <c r="J308" s="12">
        <v>5</v>
      </c>
      <c r="K308" s="12">
        <f t="shared" si="192"/>
        <v>57.157143750000003</v>
      </c>
      <c r="L308" s="12">
        <f t="shared" si="188"/>
        <v>1.3996623125521381</v>
      </c>
      <c r="S308" s="12">
        <f t="shared" ref="S308" si="257">R308-N308</f>
        <v>0</v>
      </c>
      <c r="T308" s="12" t="e">
        <f t="shared" ref="T308" si="258">((O308-S308)/O308)*100</f>
        <v>#DIV/0!</v>
      </c>
      <c r="U308" s="12" t="e">
        <f t="shared" si="196"/>
        <v>#DIV/0!</v>
      </c>
      <c r="V308" s="12" t="e">
        <f>L308*(U308/100)</f>
        <v>#DIV/0!</v>
      </c>
    </row>
    <row r="309" spans="1:30" s="12" customFormat="1">
      <c r="A309" s="12">
        <v>308</v>
      </c>
      <c r="B309" s="12" t="s">
        <v>22</v>
      </c>
      <c r="C309" s="12">
        <v>3</v>
      </c>
      <c r="D309" s="12" t="s">
        <v>23</v>
      </c>
      <c r="E309" s="12">
        <v>5</v>
      </c>
      <c r="F309" s="14" t="s">
        <v>27</v>
      </c>
      <c r="G309" s="12">
        <v>1.2811999999999999</v>
      </c>
      <c r="H309" s="12">
        <v>84.553299999999993</v>
      </c>
      <c r="I309" s="12">
        <f>H309-G309</f>
        <v>83.272099999999995</v>
      </c>
      <c r="J309" s="12">
        <v>5</v>
      </c>
      <c r="K309" s="12">
        <f t="shared" si="192"/>
        <v>57.157143750000003</v>
      </c>
      <c r="L309" s="12">
        <f t="shared" si="188"/>
        <v>1.4568975028602613</v>
      </c>
      <c r="M309" s="13"/>
      <c r="N309" s="13"/>
      <c r="O309" s="13"/>
      <c r="P309" s="13"/>
      <c r="Q309" s="13"/>
      <c r="R309" s="13"/>
      <c r="W309" s="12">
        <v>0</v>
      </c>
      <c r="X309" s="12">
        <v>0.97070000000000001</v>
      </c>
      <c r="Y309" s="12">
        <v>43.746099999999998</v>
      </c>
      <c r="Z309" s="12">
        <v>20.958200000000001</v>
      </c>
      <c r="AA309" s="12">
        <v>14.510899999999999</v>
      </c>
      <c r="AB309" s="12">
        <v>2.0392000000000001</v>
      </c>
      <c r="AC309" s="12">
        <v>0.2586</v>
      </c>
      <c r="AD309" s="12">
        <v>0.27110000000000001</v>
      </c>
    </row>
    <row r="310" spans="1:30" s="12" customFormat="1">
      <c r="A310" s="12">
        <v>309</v>
      </c>
      <c r="B310" s="12" t="s">
        <v>22</v>
      </c>
      <c r="C310" s="12">
        <v>3</v>
      </c>
      <c r="D310" s="12" t="s">
        <v>28</v>
      </c>
      <c r="E310" s="12">
        <v>5</v>
      </c>
      <c r="F310" s="14" t="s">
        <v>24</v>
      </c>
      <c r="G310" s="12">
        <v>1.2783</v>
      </c>
      <c r="H310" s="12">
        <v>83.657799999999995</v>
      </c>
      <c r="I310" s="12">
        <f>H310-G310</f>
        <v>82.379499999999993</v>
      </c>
      <c r="J310" s="12">
        <v>5</v>
      </c>
      <c r="K310" s="12">
        <f t="shared" si="192"/>
        <v>57.157143750000003</v>
      </c>
      <c r="L310" s="12">
        <f t="shared" si="188"/>
        <v>1.4412809072531723</v>
      </c>
      <c r="S310" s="12">
        <f t="shared" ref="S310" si="259">R310-N310</f>
        <v>0</v>
      </c>
      <c r="T310" s="12" t="e">
        <f t="shared" ref="T310" si="260">((O310-S310)/O310)*100</f>
        <v>#DIV/0!</v>
      </c>
      <c r="U310" s="12" t="e">
        <f t="shared" si="196"/>
        <v>#DIV/0!</v>
      </c>
      <c r="V310" s="12" t="e">
        <f>L310*(U310/100)</f>
        <v>#DIV/0!</v>
      </c>
    </row>
    <row r="311" spans="1:30" s="12" customFormat="1">
      <c r="A311" s="12">
        <v>310</v>
      </c>
      <c r="B311" s="12" t="s">
        <v>22</v>
      </c>
      <c r="C311" s="12">
        <v>3</v>
      </c>
      <c r="D311" s="12" t="s">
        <v>28</v>
      </c>
      <c r="E311" s="12">
        <v>5</v>
      </c>
      <c r="F311" s="14" t="s">
        <v>25</v>
      </c>
      <c r="G311" s="12">
        <v>1.2805</v>
      </c>
      <c r="H311" s="12">
        <v>89.835099999999997</v>
      </c>
      <c r="I311" s="12">
        <f>H311-G311</f>
        <v>88.554599999999994</v>
      </c>
      <c r="J311" s="12">
        <v>5</v>
      </c>
      <c r="K311" s="12">
        <f t="shared" si="192"/>
        <v>57.157143750000003</v>
      </c>
      <c r="L311" s="12">
        <f t="shared" si="188"/>
        <v>1.54931814625534</v>
      </c>
      <c r="M311" s="13"/>
      <c r="N311" s="13"/>
      <c r="O311" s="13"/>
      <c r="P311" s="13"/>
      <c r="Q311" s="13"/>
      <c r="R311" s="13"/>
      <c r="W311" s="12">
        <v>0</v>
      </c>
      <c r="X311" s="12">
        <v>0.44750000000000001</v>
      </c>
      <c r="Y311" s="12">
        <v>21.716899999999999</v>
      </c>
      <c r="Z311" s="12">
        <v>34.658700000000003</v>
      </c>
      <c r="AA311" s="12">
        <v>26.466100000000001</v>
      </c>
      <c r="AB311" s="12">
        <v>36.14</v>
      </c>
      <c r="AC311" s="12">
        <v>0.54669999999999996</v>
      </c>
      <c r="AD311" s="12">
        <v>0.63270000000000004</v>
      </c>
    </row>
    <row r="312" spans="1:30" s="12" customFormat="1">
      <c r="A312" s="12">
        <v>311</v>
      </c>
      <c r="B312" s="12" t="s">
        <v>22</v>
      </c>
      <c r="C312" s="12">
        <v>3</v>
      </c>
      <c r="D312" s="12" t="s">
        <v>28</v>
      </c>
      <c r="E312" s="12">
        <v>5</v>
      </c>
      <c r="F312" s="14" t="s">
        <v>26</v>
      </c>
      <c r="G312" s="12">
        <v>1.2799</v>
      </c>
      <c r="H312" s="12">
        <v>87.488900000000001</v>
      </c>
      <c r="I312" s="12">
        <f>H312-G312</f>
        <v>86.209000000000003</v>
      </c>
      <c r="J312" s="12">
        <v>5</v>
      </c>
      <c r="K312" s="12">
        <f t="shared" si="192"/>
        <v>57.157143750000003</v>
      </c>
      <c r="L312" s="12">
        <f t="shared" si="188"/>
        <v>1.5082804063315358</v>
      </c>
      <c r="S312" s="12">
        <f t="shared" ref="S312" si="261">R312-N312</f>
        <v>0</v>
      </c>
      <c r="T312" s="12" t="e">
        <f t="shared" ref="T312" si="262">((O312-S312)/O312)*100</f>
        <v>#DIV/0!</v>
      </c>
      <c r="U312" s="12" t="e">
        <f t="shared" si="196"/>
        <v>#DIV/0!</v>
      </c>
      <c r="V312" s="12" t="e">
        <f>L312*(U312/100)</f>
        <v>#DIV/0!</v>
      </c>
    </row>
    <row r="313" spans="1:30" s="12" customFormat="1">
      <c r="A313" s="12">
        <v>312</v>
      </c>
      <c r="B313" s="12" t="s">
        <v>22</v>
      </c>
      <c r="C313" s="12">
        <v>3</v>
      </c>
      <c r="D313" s="12" t="s">
        <v>28</v>
      </c>
      <c r="E313" s="12">
        <v>5</v>
      </c>
      <c r="F313" s="14" t="s">
        <v>27</v>
      </c>
      <c r="G313" s="12">
        <v>1.2823</v>
      </c>
      <c r="H313" s="12">
        <v>85.303700000000006</v>
      </c>
      <c r="I313" s="12">
        <f>H313-G313</f>
        <v>84.0214</v>
      </c>
      <c r="J313" s="12">
        <v>5</v>
      </c>
      <c r="K313" s="12">
        <f t="shared" si="192"/>
        <v>57.157143750000003</v>
      </c>
      <c r="L313" s="12">
        <f t="shared" si="188"/>
        <v>1.4700069752873191</v>
      </c>
      <c r="M313" s="13"/>
      <c r="N313" s="13"/>
      <c r="O313" s="13"/>
      <c r="P313" s="13"/>
      <c r="Q313" s="13"/>
      <c r="R313" s="13"/>
      <c r="W313" s="12">
        <v>0</v>
      </c>
      <c r="X313" s="12">
        <v>0.75570000000000004</v>
      </c>
      <c r="Y313" s="12">
        <v>29.138999999999999</v>
      </c>
      <c r="Z313" s="12">
        <v>34.112000000000002</v>
      </c>
      <c r="AA313" s="12">
        <v>17.562799999999999</v>
      </c>
      <c r="AB313" s="12">
        <v>1.4673</v>
      </c>
      <c r="AC313" s="12">
        <v>0.16339999999999999</v>
      </c>
      <c r="AD313" s="12">
        <v>0.18060000000000001</v>
      </c>
    </row>
    <row r="314" spans="1:30" s="12" customFormat="1">
      <c r="A314" s="12">
        <v>313</v>
      </c>
      <c r="B314" s="12" t="s">
        <v>22</v>
      </c>
      <c r="C314" s="12">
        <v>3</v>
      </c>
      <c r="D314" s="12" t="s">
        <v>29</v>
      </c>
      <c r="E314" s="12">
        <v>5</v>
      </c>
      <c r="F314" s="14" t="s">
        <v>24</v>
      </c>
      <c r="G314" s="12">
        <v>1.288</v>
      </c>
      <c r="H314" s="12">
        <v>86.634200000000007</v>
      </c>
      <c r="I314" s="12">
        <f>H314-G314</f>
        <v>85.34620000000001</v>
      </c>
      <c r="J314" s="12">
        <v>5</v>
      </c>
      <c r="K314" s="12">
        <f t="shared" si="192"/>
        <v>57.157143750000003</v>
      </c>
      <c r="L314" s="12">
        <f t="shared" si="188"/>
        <v>1.4931851803738883</v>
      </c>
      <c r="S314" s="12">
        <f t="shared" ref="S314" si="263">R314-N314</f>
        <v>0</v>
      </c>
      <c r="T314" s="12" t="e">
        <f t="shared" ref="T314" si="264">((O314-S314)/O314)*100</f>
        <v>#DIV/0!</v>
      </c>
      <c r="U314" s="12" t="e">
        <f t="shared" si="196"/>
        <v>#DIV/0!</v>
      </c>
      <c r="V314" s="12" t="e">
        <f>L314*(U314/100)</f>
        <v>#DIV/0!</v>
      </c>
    </row>
    <row r="315" spans="1:30" s="12" customFormat="1">
      <c r="A315" s="12">
        <v>314</v>
      </c>
      <c r="B315" s="12" t="s">
        <v>22</v>
      </c>
      <c r="C315" s="12">
        <v>3</v>
      </c>
      <c r="D315" s="14" t="s">
        <v>29</v>
      </c>
      <c r="E315" s="12">
        <v>5</v>
      </c>
      <c r="F315" s="14" t="s">
        <v>25</v>
      </c>
      <c r="G315" s="12">
        <v>1.2785</v>
      </c>
      <c r="H315" s="12">
        <v>88.848299999999995</v>
      </c>
      <c r="I315" s="12">
        <f>H315-G315</f>
        <v>87.569800000000001</v>
      </c>
      <c r="J315" s="12">
        <v>5</v>
      </c>
      <c r="K315" s="12">
        <f t="shared" si="192"/>
        <v>57.157143750000003</v>
      </c>
      <c r="L315" s="12">
        <f t="shared" si="188"/>
        <v>1.5320884539476309</v>
      </c>
      <c r="M315" s="13"/>
      <c r="N315" s="13"/>
      <c r="O315" s="13"/>
      <c r="P315" s="13"/>
      <c r="Q315" s="13"/>
      <c r="R315" s="13"/>
      <c r="W315" s="12">
        <v>0</v>
      </c>
      <c r="X315" s="12">
        <v>0.31230000000000002</v>
      </c>
      <c r="Y315" s="12">
        <v>29.5105</v>
      </c>
      <c r="Z315" s="12">
        <v>35.898099999999999</v>
      </c>
      <c r="AA315" s="12">
        <v>20.107600000000001</v>
      </c>
      <c r="AB315" s="12">
        <v>1.3643000000000001</v>
      </c>
      <c r="AC315" s="12">
        <v>7.2999999999999995E-2</v>
      </c>
      <c r="AD315" s="12">
        <v>8.6900000000000005E-2</v>
      </c>
    </row>
    <row r="316" spans="1:30" s="12" customFormat="1">
      <c r="A316" s="12">
        <v>315</v>
      </c>
      <c r="B316" s="12" t="s">
        <v>22</v>
      </c>
      <c r="C316" s="12">
        <v>3</v>
      </c>
      <c r="D316" s="12" t="s">
        <v>29</v>
      </c>
      <c r="E316" s="12">
        <v>5</v>
      </c>
      <c r="F316" s="14" t="s">
        <v>26</v>
      </c>
      <c r="G316" s="12">
        <v>1.2826</v>
      </c>
      <c r="H316" s="12">
        <v>83.195599999999999</v>
      </c>
      <c r="I316" s="12">
        <f>H316-G316</f>
        <v>81.912999999999997</v>
      </c>
      <c r="J316" s="12">
        <v>5</v>
      </c>
      <c r="K316" s="12">
        <f t="shared" si="192"/>
        <v>57.157143750000003</v>
      </c>
      <c r="L316" s="12">
        <f t="shared" si="188"/>
        <v>1.4331191978080604</v>
      </c>
      <c r="S316" s="12">
        <f t="shared" ref="S316" si="265">R316-N316</f>
        <v>0</v>
      </c>
      <c r="T316" s="12" t="e">
        <f t="shared" ref="T316" si="266">((O316-S316)/O316)*100</f>
        <v>#DIV/0!</v>
      </c>
      <c r="U316" s="12" t="e">
        <f t="shared" si="196"/>
        <v>#DIV/0!</v>
      </c>
      <c r="V316" s="12" t="e">
        <f>L316*(U316/100)</f>
        <v>#DIV/0!</v>
      </c>
    </row>
    <row r="317" spans="1:30" s="12" customFormat="1">
      <c r="A317" s="12">
        <v>316</v>
      </c>
      <c r="B317" s="12" t="s">
        <v>22</v>
      </c>
      <c r="C317" s="12">
        <v>3</v>
      </c>
      <c r="D317" s="14" t="s">
        <v>29</v>
      </c>
      <c r="E317" s="12">
        <v>5</v>
      </c>
      <c r="F317" s="14" t="s">
        <v>27</v>
      </c>
      <c r="G317" s="12">
        <v>1.2841</v>
      </c>
      <c r="H317" s="12">
        <v>77.119799999999998</v>
      </c>
      <c r="I317" s="12">
        <f>H317-G317</f>
        <v>75.835700000000003</v>
      </c>
      <c r="J317" s="12">
        <v>5</v>
      </c>
      <c r="K317" s="12">
        <f t="shared" si="192"/>
        <v>57.157143750000003</v>
      </c>
      <c r="L317" s="12">
        <f t="shared" si="188"/>
        <v>1.326793031011106</v>
      </c>
      <c r="M317" s="13"/>
      <c r="N317" s="13"/>
      <c r="O317" s="13"/>
      <c r="P317" s="13"/>
      <c r="Q317" s="13"/>
      <c r="R317" s="13"/>
      <c r="W317" s="12">
        <v>0</v>
      </c>
      <c r="X317" s="12">
        <v>0.9113</v>
      </c>
      <c r="Y317" s="12">
        <v>29.082000000000001</v>
      </c>
      <c r="Z317" s="12">
        <v>26.160699999999999</v>
      </c>
      <c r="AA317" s="12">
        <v>16.817599999999999</v>
      </c>
      <c r="AB317" s="12">
        <v>2.0105</v>
      </c>
      <c r="AC317" s="12">
        <v>0.19739999999999999</v>
      </c>
      <c r="AD317" s="12">
        <v>0.24149999999999999</v>
      </c>
    </row>
    <row r="318" spans="1:30" s="12" customFormat="1">
      <c r="A318" s="12">
        <v>317</v>
      </c>
      <c r="B318" s="12" t="s">
        <v>22</v>
      </c>
      <c r="C318" s="12">
        <v>3</v>
      </c>
      <c r="D318" s="12" t="s">
        <v>30</v>
      </c>
      <c r="E318" s="12">
        <v>5</v>
      </c>
      <c r="F318" s="14" t="s">
        <v>24</v>
      </c>
      <c r="G318" s="12">
        <v>1.2798</v>
      </c>
      <c r="H318" s="12">
        <v>81.995599999999996</v>
      </c>
      <c r="I318" s="12">
        <f>H318-G318</f>
        <v>80.715800000000002</v>
      </c>
      <c r="J318" s="12">
        <v>5</v>
      </c>
      <c r="K318" s="12">
        <f t="shared" si="192"/>
        <v>57.157143750000003</v>
      </c>
      <c r="L318" s="12">
        <f t="shared" si="188"/>
        <v>1.4121734345761461</v>
      </c>
      <c r="S318" s="12">
        <f t="shared" ref="S318" si="267">R318-N318</f>
        <v>0</v>
      </c>
      <c r="T318" s="12" t="e">
        <f t="shared" ref="T318" si="268">((O318-S318)/O318)*100</f>
        <v>#DIV/0!</v>
      </c>
      <c r="U318" s="12" t="e">
        <f t="shared" si="196"/>
        <v>#DIV/0!</v>
      </c>
      <c r="V318" s="12" t="e">
        <f>L318*(U318/100)</f>
        <v>#DIV/0!</v>
      </c>
    </row>
    <row r="319" spans="1:30" s="12" customFormat="1">
      <c r="A319" s="12">
        <v>318</v>
      </c>
      <c r="B319" s="12" t="s">
        <v>22</v>
      </c>
      <c r="C319" s="12">
        <v>3</v>
      </c>
      <c r="D319" s="14" t="s">
        <v>30</v>
      </c>
      <c r="E319" s="12">
        <v>5</v>
      </c>
      <c r="F319" s="14" t="s">
        <v>25</v>
      </c>
      <c r="G319" s="12">
        <v>1.2777000000000001</v>
      </c>
      <c r="H319" s="12">
        <v>88.036600000000007</v>
      </c>
      <c r="I319" s="12">
        <f>H319-G319</f>
        <v>86.758900000000011</v>
      </c>
      <c r="J319" s="12">
        <v>5</v>
      </c>
      <c r="K319" s="12">
        <f t="shared" si="192"/>
        <v>57.157143750000003</v>
      </c>
      <c r="L319" s="12">
        <f t="shared" si="188"/>
        <v>1.5179012509700505</v>
      </c>
      <c r="M319" s="13"/>
      <c r="N319" s="13"/>
      <c r="O319" s="13"/>
      <c r="P319" s="13"/>
      <c r="Q319" s="13"/>
      <c r="R319" s="13"/>
      <c r="W319" s="12">
        <v>0</v>
      </c>
      <c r="X319" s="12">
        <v>0.37230000000000002</v>
      </c>
      <c r="Y319" s="12">
        <v>25.105499999999999</v>
      </c>
      <c r="Z319" s="12">
        <v>32.924500000000002</v>
      </c>
      <c r="AA319" s="12">
        <v>24.9315</v>
      </c>
      <c r="AB319" s="12">
        <v>2.4535999999999998</v>
      </c>
      <c r="AC319" s="12">
        <v>0.2306</v>
      </c>
      <c r="AD319" s="12">
        <v>0.32479999999999998</v>
      </c>
    </row>
    <row r="320" spans="1:30" s="12" customFormat="1">
      <c r="A320" s="12">
        <v>319</v>
      </c>
      <c r="B320" s="12" t="s">
        <v>22</v>
      </c>
      <c r="C320" s="12">
        <v>3</v>
      </c>
      <c r="D320" s="12" t="s">
        <v>30</v>
      </c>
      <c r="E320" s="12">
        <v>5</v>
      </c>
      <c r="F320" s="14" t="s">
        <v>26</v>
      </c>
      <c r="G320" s="12">
        <v>1.2848999999999999</v>
      </c>
      <c r="H320" s="12">
        <v>85.265000000000001</v>
      </c>
      <c r="I320" s="12">
        <f>H320-G320</f>
        <v>83.980100000000007</v>
      </c>
      <c r="J320" s="12">
        <v>5</v>
      </c>
      <c r="K320" s="12">
        <f t="shared" si="192"/>
        <v>57.157143750000003</v>
      </c>
      <c r="L320" s="12">
        <f t="shared" si="188"/>
        <v>1.469284405940946</v>
      </c>
      <c r="S320" s="12">
        <f t="shared" ref="S320" si="269">R320-N320</f>
        <v>0</v>
      </c>
      <c r="T320" s="12" t="e">
        <f t="shared" ref="T320" si="270">((O320-S320)/O320)*100</f>
        <v>#DIV/0!</v>
      </c>
      <c r="U320" s="12" t="e">
        <f t="shared" si="196"/>
        <v>#DIV/0!</v>
      </c>
      <c r="V320" s="12" t="e">
        <f>L320*(U320/100)</f>
        <v>#DIV/0!</v>
      </c>
    </row>
    <row r="321" spans="1:30" s="12" customFormat="1">
      <c r="A321" s="12">
        <v>320</v>
      </c>
      <c r="B321" s="12" t="s">
        <v>22</v>
      </c>
      <c r="C321" s="12">
        <v>3</v>
      </c>
      <c r="D321" s="14" t="s">
        <v>30</v>
      </c>
      <c r="E321" s="12">
        <v>5</v>
      </c>
      <c r="F321" s="14" t="s">
        <v>27</v>
      </c>
      <c r="G321" s="12">
        <v>1.2786999999999999</v>
      </c>
      <c r="H321" s="12">
        <v>80.971199999999996</v>
      </c>
      <c r="I321" s="12">
        <f>H321-G321</f>
        <v>79.692499999999995</v>
      </c>
      <c r="J321" s="12">
        <v>5</v>
      </c>
      <c r="K321" s="12">
        <f t="shared" si="192"/>
        <v>57.157143750000003</v>
      </c>
      <c r="L321" s="12">
        <f t="shared" si="188"/>
        <v>1.3942701606743599</v>
      </c>
      <c r="M321" s="13"/>
      <c r="N321" s="13"/>
      <c r="O321" s="13"/>
      <c r="P321" s="13"/>
      <c r="Q321" s="13"/>
      <c r="R321" s="13"/>
      <c r="W321" s="12">
        <v>0</v>
      </c>
      <c r="X321" s="12">
        <v>1.0680000000000001</v>
      </c>
      <c r="Y321" s="12">
        <v>40.710700000000003</v>
      </c>
      <c r="Z321" s="12">
        <v>24.515499999999999</v>
      </c>
      <c r="AA321" s="12">
        <v>11.2819</v>
      </c>
      <c r="AB321" s="12">
        <v>0.84330000000000005</v>
      </c>
      <c r="AC321" s="12">
        <v>6.2399999999999997E-2</v>
      </c>
      <c r="AD321" s="12">
        <v>8.5500000000000007E-2</v>
      </c>
    </row>
    <row r="322" spans="1:30" s="12" customFormat="1">
      <c r="A322" s="12">
        <v>321</v>
      </c>
      <c r="B322" s="12" t="s">
        <v>22</v>
      </c>
      <c r="C322" s="12">
        <v>3</v>
      </c>
      <c r="D322" s="12" t="s">
        <v>23</v>
      </c>
      <c r="E322" s="12">
        <v>6</v>
      </c>
      <c r="F322" s="14" t="s">
        <v>24</v>
      </c>
      <c r="G322" s="12">
        <v>1.2771999999999999</v>
      </c>
      <c r="H322" s="12">
        <v>86.423599999999993</v>
      </c>
      <c r="I322" s="12">
        <f>H322-G322</f>
        <v>85.1464</v>
      </c>
      <c r="J322" s="12">
        <v>5</v>
      </c>
      <c r="K322" s="12">
        <f t="shared" si="192"/>
        <v>57.157143750000003</v>
      </c>
      <c r="L322" s="12">
        <f t="shared" ref="L322:L385" si="271">I322/K322</f>
        <v>1.4896895543350168</v>
      </c>
      <c r="S322" s="12">
        <f t="shared" ref="S322" si="272">R322-N322</f>
        <v>0</v>
      </c>
      <c r="T322" s="12" t="e">
        <f t="shared" ref="T322" si="273">((O322-S322)/O322)*100</f>
        <v>#DIV/0!</v>
      </c>
      <c r="U322" s="12" t="e">
        <f t="shared" si="196"/>
        <v>#DIV/0!</v>
      </c>
      <c r="V322" s="12" t="e">
        <f>L322*(U322/100)</f>
        <v>#DIV/0!</v>
      </c>
    </row>
    <row r="323" spans="1:30" s="12" customFormat="1">
      <c r="A323" s="12">
        <v>322</v>
      </c>
      <c r="B323" s="12" t="s">
        <v>22</v>
      </c>
      <c r="C323" s="12">
        <v>3</v>
      </c>
      <c r="D323" s="12" t="s">
        <v>23</v>
      </c>
      <c r="E323" s="12">
        <v>6</v>
      </c>
      <c r="F323" s="14" t="s">
        <v>25</v>
      </c>
      <c r="G323" s="12">
        <v>1.2804</v>
      </c>
      <c r="H323" s="12">
        <v>84.276499999999999</v>
      </c>
      <c r="I323" s="12">
        <f>H323-G323</f>
        <v>82.996099999999998</v>
      </c>
      <c r="J323" s="12">
        <v>5</v>
      </c>
      <c r="K323" s="12">
        <f t="shared" ref="K323:K386" si="274">0.25*3.15*((7.62/2)^2)*J323</f>
        <v>57.157143750000003</v>
      </c>
      <c r="L323" s="12">
        <f t="shared" si="271"/>
        <v>1.4520687101338929</v>
      </c>
      <c r="M323" s="13"/>
      <c r="N323" s="13"/>
      <c r="O323" s="13"/>
      <c r="P323" s="13"/>
      <c r="Q323" s="13"/>
      <c r="R323" s="13"/>
      <c r="W323" s="12">
        <v>0</v>
      </c>
      <c r="X323" s="12">
        <v>0.4415</v>
      </c>
      <c r="Y323" s="12">
        <v>34.608699999999999</v>
      </c>
      <c r="Z323" s="12">
        <v>31.706800000000001</v>
      </c>
      <c r="AA323" s="12">
        <v>14.6303</v>
      </c>
      <c r="AB323" s="12">
        <v>1.1133</v>
      </c>
      <c r="AC323" s="12">
        <v>0.10390000000000001</v>
      </c>
      <c r="AD323" s="12">
        <v>9.2899999999999996E-2</v>
      </c>
    </row>
    <row r="324" spans="1:30" s="12" customFormat="1">
      <c r="A324" s="12">
        <v>323</v>
      </c>
      <c r="B324" s="12" t="s">
        <v>22</v>
      </c>
      <c r="C324" s="12">
        <v>3</v>
      </c>
      <c r="D324" s="12" t="s">
        <v>23</v>
      </c>
      <c r="E324" s="12">
        <v>6</v>
      </c>
      <c r="F324" s="14" t="s">
        <v>26</v>
      </c>
      <c r="G324" s="12">
        <v>1.2719</v>
      </c>
      <c r="H324" s="12">
        <v>98.097300000000004</v>
      </c>
      <c r="I324" s="12">
        <f>H324-G324</f>
        <v>96.825400000000002</v>
      </c>
      <c r="J324" s="12">
        <v>5</v>
      </c>
      <c r="K324" s="12">
        <f t="shared" si="274"/>
        <v>57.157143750000003</v>
      </c>
      <c r="L324" s="12">
        <f t="shared" si="271"/>
        <v>1.6940209682888501</v>
      </c>
      <c r="S324" s="12">
        <f t="shared" ref="S324" si="275">R324-N324</f>
        <v>0</v>
      </c>
      <c r="T324" s="12" t="e">
        <f t="shared" ref="T324" si="276">((O324-S324)/O324)*100</f>
        <v>#DIV/0!</v>
      </c>
      <c r="U324" s="12" t="e">
        <f t="shared" ref="U324:U386" si="277">-0.63+0.4*T324</f>
        <v>#DIV/0!</v>
      </c>
      <c r="V324" s="12" t="e">
        <f>L324*(U324/100)</f>
        <v>#DIV/0!</v>
      </c>
    </row>
    <row r="325" spans="1:30" s="12" customFormat="1">
      <c r="A325" s="12">
        <v>324</v>
      </c>
      <c r="B325" s="12" t="s">
        <v>22</v>
      </c>
      <c r="C325" s="12">
        <v>3</v>
      </c>
      <c r="D325" s="12" t="s">
        <v>23</v>
      </c>
      <c r="E325" s="12">
        <v>6</v>
      </c>
      <c r="F325" s="14" t="s">
        <v>27</v>
      </c>
      <c r="G325" s="12">
        <v>1.2859</v>
      </c>
      <c r="H325" s="12">
        <v>93.717799999999997</v>
      </c>
      <c r="I325" s="12">
        <f>H325-G325</f>
        <v>92.431899999999999</v>
      </c>
      <c r="J325" s="12">
        <v>5</v>
      </c>
      <c r="K325" s="12">
        <f t="shared" si="274"/>
        <v>57.157143750000003</v>
      </c>
      <c r="L325" s="12">
        <f t="shared" si="271"/>
        <v>1.6171539362479077</v>
      </c>
      <c r="M325" s="13"/>
      <c r="N325" s="13"/>
      <c r="O325" s="13"/>
      <c r="P325" s="13"/>
      <c r="Q325" s="13"/>
      <c r="R325" s="13"/>
      <c r="W325" s="12">
        <v>0</v>
      </c>
      <c r="X325" s="12">
        <v>0.69330000000000003</v>
      </c>
      <c r="Y325" s="12">
        <v>43.179699999999997</v>
      </c>
      <c r="Z325" s="12">
        <v>32.877400000000002</v>
      </c>
      <c r="AA325" s="12">
        <v>14.3344</v>
      </c>
      <c r="AB325" s="12">
        <v>0.87609999999999999</v>
      </c>
      <c r="AC325" s="12">
        <v>6.7599999999999993E-2</v>
      </c>
      <c r="AD325" s="12">
        <v>7.5899999999999995E-2</v>
      </c>
    </row>
    <row r="326" spans="1:30" s="12" customFormat="1">
      <c r="A326" s="12">
        <v>325</v>
      </c>
      <c r="B326" s="12" t="s">
        <v>22</v>
      </c>
      <c r="C326" s="12">
        <v>3</v>
      </c>
      <c r="D326" s="12" t="s">
        <v>28</v>
      </c>
      <c r="E326" s="12">
        <v>6</v>
      </c>
      <c r="F326" s="14" t="s">
        <v>24</v>
      </c>
      <c r="G326" s="12">
        <v>1.2788999999999999</v>
      </c>
      <c r="H326" s="12">
        <v>83.967299999999994</v>
      </c>
      <c r="I326" s="12">
        <f>H326-G326</f>
        <v>82.688400000000001</v>
      </c>
      <c r="J326" s="12">
        <v>5</v>
      </c>
      <c r="K326" s="12">
        <f t="shared" si="274"/>
        <v>57.157143750000003</v>
      </c>
      <c r="L326" s="12">
        <f t="shared" si="271"/>
        <v>1.4466853060690248</v>
      </c>
      <c r="S326" s="12">
        <f t="shared" ref="S326" si="278">R326-N326</f>
        <v>0</v>
      </c>
      <c r="T326" s="12" t="e">
        <f t="shared" ref="T326" si="279">((O326-S326)/O326)*100</f>
        <v>#DIV/0!</v>
      </c>
      <c r="U326" s="12" t="e">
        <f t="shared" si="277"/>
        <v>#DIV/0!</v>
      </c>
      <c r="V326" s="12" t="e">
        <f>L326*(U326/100)</f>
        <v>#DIV/0!</v>
      </c>
    </row>
    <row r="327" spans="1:30" s="12" customFormat="1">
      <c r="A327" s="12">
        <v>326</v>
      </c>
      <c r="B327" s="12" t="s">
        <v>22</v>
      </c>
      <c r="C327" s="12">
        <v>3</v>
      </c>
      <c r="D327" s="12" t="s">
        <v>28</v>
      </c>
      <c r="E327" s="12">
        <v>6</v>
      </c>
      <c r="F327" s="14" t="s">
        <v>25</v>
      </c>
      <c r="G327" s="12">
        <v>1.2696000000000001</v>
      </c>
      <c r="H327" s="12">
        <v>92.582899999999995</v>
      </c>
      <c r="I327" s="12">
        <f>H327-G327</f>
        <v>91.313299999999998</v>
      </c>
      <c r="J327" s="12">
        <v>5</v>
      </c>
      <c r="K327" s="12">
        <f t="shared" si="274"/>
        <v>57.157143750000003</v>
      </c>
      <c r="L327" s="12">
        <f t="shared" si="271"/>
        <v>1.5975833292054591</v>
      </c>
      <c r="M327" s="13"/>
      <c r="N327" s="13"/>
      <c r="O327" s="13"/>
      <c r="P327" s="13"/>
      <c r="Q327" s="13"/>
      <c r="R327" s="13"/>
      <c r="W327" s="12">
        <v>0</v>
      </c>
      <c r="X327" s="12">
        <v>0.84660000000000002</v>
      </c>
      <c r="Y327" s="12">
        <v>35.410200000000003</v>
      </c>
      <c r="Z327" s="12">
        <v>32.7898</v>
      </c>
      <c r="AA327" s="12">
        <v>19.674800000000001</v>
      </c>
      <c r="AB327" s="12">
        <v>1.6084000000000001</v>
      </c>
      <c r="AC327" s="12">
        <v>0.14860000000000001</v>
      </c>
      <c r="AD327" s="12">
        <v>0.16919999999999999</v>
      </c>
    </row>
    <row r="328" spans="1:30" s="12" customFormat="1">
      <c r="A328" s="12">
        <v>327</v>
      </c>
      <c r="B328" s="12" t="s">
        <v>22</v>
      </c>
      <c r="C328" s="12">
        <v>3</v>
      </c>
      <c r="D328" s="12" t="s">
        <v>28</v>
      </c>
      <c r="E328" s="12">
        <v>6</v>
      </c>
      <c r="F328" s="14" t="s">
        <v>26</v>
      </c>
      <c r="G328" s="12">
        <v>1.2775000000000001</v>
      </c>
      <c r="H328" s="12">
        <v>79.044899999999998</v>
      </c>
      <c r="I328" s="12">
        <f>H328-G328</f>
        <v>77.767399999999995</v>
      </c>
      <c r="J328" s="12">
        <v>5</v>
      </c>
      <c r="K328" s="12">
        <f t="shared" si="274"/>
        <v>57.157143750000003</v>
      </c>
      <c r="L328" s="12">
        <f t="shared" si="271"/>
        <v>1.3605893314079396</v>
      </c>
      <c r="S328" s="12">
        <f t="shared" ref="S328" si="280">R328-N328</f>
        <v>0</v>
      </c>
      <c r="T328" s="12" t="e">
        <f t="shared" ref="T328" si="281">((O328-S328)/O328)*100</f>
        <v>#DIV/0!</v>
      </c>
      <c r="U328" s="12" t="e">
        <f t="shared" si="277"/>
        <v>#DIV/0!</v>
      </c>
      <c r="V328" s="12" t="e">
        <f>L328*(U328/100)</f>
        <v>#DIV/0!</v>
      </c>
    </row>
    <row r="329" spans="1:30" s="12" customFormat="1">
      <c r="A329" s="12">
        <v>328</v>
      </c>
      <c r="B329" s="12" t="s">
        <v>22</v>
      </c>
      <c r="C329" s="12">
        <v>3</v>
      </c>
      <c r="D329" s="12" t="s">
        <v>28</v>
      </c>
      <c r="E329" s="12">
        <v>6</v>
      </c>
      <c r="F329" s="14" t="s">
        <v>27</v>
      </c>
      <c r="G329" s="12">
        <v>1.2790999999999999</v>
      </c>
      <c r="H329" s="12">
        <v>87.723399999999998</v>
      </c>
      <c r="I329" s="12">
        <f>H329-G329</f>
        <v>86.444299999999998</v>
      </c>
      <c r="J329" s="12">
        <v>5</v>
      </c>
      <c r="K329" s="12">
        <f t="shared" si="274"/>
        <v>57.157143750000003</v>
      </c>
      <c r="L329" s="12">
        <f t="shared" si="271"/>
        <v>1.5123971270870231</v>
      </c>
      <c r="M329" s="13"/>
      <c r="N329" s="13"/>
      <c r="O329" s="13"/>
      <c r="P329" s="13"/>
      <c r="Q329" s="13"/>
      <c r="R329" s="13"/>
      <c r="W329" s="12">
        <v>0</v>
      </c>
      <c r="X329" s="12">
        <v>1.1468</v>
      </c>
      <c r="Y329" s="12">
        <v>36.187800000000003</v>
      </c>
      <c r="Z329" s="12">
        <v>30.1934</v>
      </c>
      <c r="AA329" s="12">
        <v>16.803699999999999</v>
      </c>
      <c r="AB329" s="12">
        <v>1.1165</v>
      </c>
      <c r="AC329" s="12">
        <v>8.9700000000000002E-2</v>
      </c>
      <c r="AD329" s="12">
        <v>0.1215</v>
      </c>
    </row>
    <row r="330" spans="1:30" s="12" customFormat="1">
      <c r="A330" s="12">
        <v>329</v>
      </c>
      <c r="B330" s="12" t="s">
        <v>22</v>
      </c>
      <c r="C330" s="12">
        <v>3</v>
      </c>
      <c r="D330" s="12" t="s">
        <v>29</v>
      </c>
      <c r="E330" s="12">
        <v>6</v>
      </c>
      <c r="F330" s="14" t="s">
        <v>24</v>
      </c>
      <c r="G330" s="12">
        <v>1.28</v>
      </c>
      <c r="H330" s="12">
        <v>88.00439999999999</v>
      </c>
      <c r="I330" s="12">
        <f>H332-G330</f>
        <v>81.642700000000005</v>
      </c>
      <c r="J330" s="12">
        <v>5</v>
      </c>
      <c r="K330" s="12">
        <f t="shared" si="274"/>
        <v>57.157143750000003</v>
      </c>
      <c r="L330" s="12">
        <f>I330/K330</f>
        <v>1.4283901301488671</v>
      </c>
      <c r="S330" s="12">
        <f t="shared" ref="S330" si="282">R330-N330</f>
        <v>0</v>
      </c>
      <c r="T330" s="12" t="e">
        <f t="shared" ref="T330" si="283">((O330-S330)/O330)*100</f>
        <v>#DIV/0!</v>
      </c>
      <c r="U330" s="12" t="e">
        <f t="shared" si="277"/>
        <v>#DIV/0!</v>
      </c>
      <c r="V330" s="12" t="e">
        <f>L330*(U330/100)</f>
        <v>#DIV/0!</v>
      </c>
    </row>
    <row r="331" spans="1:30" s="12" customFormat="1">
      <c r="A331" s="12">
        <v>330</v>
      </c>
      <c r="B331" s="12" t="s">
        <v>22</v>
      </c>
      <c r="C331" s="12">
        <v>3</v>
      </c>
      <c r="D331" s="14" t="s">
        <v>29</v>
      </c>
      <c r="E331" s="12">
        <v>6</v>
      </c>
      <c r="F331" s="14" t="s">
        <v>25</v>
      </c>
      <c r="G331" s="12">
        <v>1.2836000000000001</v>
      </c>
      <c r="H331" s="12">
        <v>87.4375</v>
      </c>
      <c r="I331" s="12">
        <f>H331-G331</f>
        <v>86.153899999999993</v>
      </c>
      <c r="J331" s="12">
        <v>5</v>
      </c>
      <c r="K331" s="12">
        <f t="shared" si="274"/>
        <v>57.157143750000003</v>
      </c>
      <c r="L331" s="12">
        <f>I331/K331</f>
        <v>1.5073163973488439</v>
      </c>
      <c r="M331" s="13"/>
      <c r="N331" s="13"/>
      <c r="O331" s="13"/>
      <c r="P331" s="13"/>
      <c r="Q331" s="13"/>
      <c r="R331" s="13"/>
      <c r="W331" s="12">
        <v>0</v>
      </c>
      <c r="X331" s="12">
        <v>0.18820000000000001</v>
      </c>
      <c r="Y331" s="12">
        <v>26.6221</v>
      </c>
      <c r="Z331" s="12">
        <v>38.442300000000003</v>
      </c>
      <c r="AA331" s="12">
        <v>19.104500000000002</v>
      </c>
      <c r="AB331" s="12">
        <v>1.3443000000000001</v>
      </c>
      <c r="AC331" s="12">
        <v>9.0200000000000002E-2</v>
      </c>
      <c r="AD331" s="12">
        <v>9.2299999999999993E-2</v>
      </c>
    </row>
    <row r="332" spans="1:30" s="12" customFormat="1">
      <c r="A332" s="12">
        <v>331</v>
      </c>
      <c r="B332" s="12" t="s">
        <v>22</v>
      </c>
      <c r="C332" s="12">
        <v>3</v>
      </c>
      <c r="D332" s="12" t="s">
        <v>29</v>
      </c>
      <c r="E332" s="12">
        <v>6</v>
      </c>
      <c r="F332" s="14" t="s">
        <v>26</v>
      </c>
      <c r="G332" s="12">
        <v>1.2871999999999999</v>
      </c>
      <c r="H332" s="12">
        <v>82.922700000000006</v>
      </c>
      <c r="I332" s="12">
        <f>H332-G332</f>
        <v>81.635500000000008</v>
      </c>
      <c r="J332" s="12">
        <v>5</v>
      </c>
      <c r="K332" s="12">
        <f t="shared" si="274"/>
        <v>57.157143750000003</v>
      </c>
      <c r="L332" s="12">
        <f t="shared" si="271"/>
        <v>1.4282641616429619</v>
      </c>
      <c r="S332" s="12">
        <f t="shared" ref="S332" si="284">R332-N332</f>
        <v>0</v>
      </c>
      <c r="T332" s="12" t="e">
        <f t="shared" ref="T332" si="285">((O332-S332)/O332)*100</f>
        <v>#DIV/0!</v>
      </c>
      <c r="U332" s="12" t="e">
        <f t="shared" si="277"/>
        <v>#DIV/0!</v>
      </c>
      <c r="V332" s="12" t="e">
        <f>L332*(U332/100)</f>
        <v>#DIV/0!</v>
      </c>
    </row>
    <row r="333" spans="1:30" s="12" customFormat="1">
      <c r="A333" s="12">
        <v>332</v>
      </c>
      <c r="B333" s="12" t="s">
        <v>22</v>
      </c>
      <c r="C333" s="12">
        <v>3</v>
      </c>
      <c r="D333" s="14" t="s">
        <v>29</v>
      </c>
      <c r="E333" s="12">
        <v>6</v>
      </c>
      <c r="F333" s="14" t="s">
        <v>27</v>
      </c>
      <c r="G333" s="12">
        <v>1.2894000000000001</v>
      </c>
      <c r="H333" s="12">
        <v>78.734200000000001</v>
      </c>
      <c r="I333" s="12">
        <f>H333-G333</f>
        <v>77.444800000000001</v>
      </c>
      <c r="J333" s="12">
        <v>5</v>
      </c>
      <c r="K333" s="12">
        <f t="shared" si="274"/>
        <v>57.157143750000003</v>
      </c>
      <c r="L333" s="12">
        <f t="shared" si="271"/>
        <v>1.354945242518351</v>
      </c>
      <c r="M333" s="13"/>
      <c r="N333" s="13"/>
      <c r="O333" s="13"/>
      <c r="P333" s="13"/>
      <c r="Q333" s="13"/>
      <c r="R333" s="13"/>
      <c r="W333" s="12">
        <v>0</v>
      </c>
      <c r="X333" s="12">
        <v>1.1842999999999999</v>
      </c>
      <c r="Y333" s="12">
        <v>40.504199999999997</v>
      </c>
      <c r="Z333" s="12">
        <v>26.3401</v>
      </c>
      <c r="AA333" s="12">
        <v>8.8249999999999993</v>
      </c>
      <c r="AB333" s="12">
        <v>0.50080000000000002</v>
      </c>
      <c r="AC333" s="12">
        <v>3.1300000000000001E-2</v>
      </c>
      <c r="AD333" s="12">
        <v>5.9400000000000001E-2</v>
      </c>
    </row>
    <row r="334" spans="1:30" s="12" customFormat="1">
      <c r="A334" s="12">
        <v>333</v>
      </c>
      <c r="B334" s="12" t="s">
        <v>22</v>
      </c>
      <c r="C334" s="12">
        <v>3</v>
      </c>
      <c r="D334" s="12" t="s">
        <v>30</v>
      </c>
      <c r="E334" s="12">
        <v>6</v>
      </c>
      <c r="F334" s="14" t="s">
        <v>24</v>
      </c>
      <c r="G334" s="12">
        <v>1.2769999999999999</v>
      </c>
      <c r="H334" s="12">
        <v>84.030199999999994</v>
      </c>
      <c r="I334" s="12">
        <f>H334-G334</f>
        <v>82.753199999999993</v>
      </c>
      <c r="J334" s="12">
        <v>5</v>
      </c>
      <c r="K334" s="12">
        <f t="shared" si="274"/>
        <v>57.157143750000003</v>
      </c>
      <c r="L334" s="12">
        <f t="shared" si="271"/>
        <v>1.4478190226221721</v>
      </c>
      <c r="S334" s="12">
        <f t="shared" ref="S334" si="286">R334-N334</f>
        <v>0</v>
      </c>
      <c r="T334" s="12" t="e">
        <f t="shared" ref="T334" si="287">((O334-S334)/O334)*100</f>
        <v>#DIV/0!</v>
      </c>
      <c r="U334" s="12" t="e">
        <f t="shared" si="277"/>
        <v>#DIV/0!</v>
      </c>
      <c r="V334" s="12" t="e">
        <f>L334*(U334/100)</f>
        <v>#DIV/0!</v>
      </c>
    </row>
    <row r="335" spans="1:30" s="12" customFormat="1">
      <c r="A335" s="12">
        <v>334</v>
      </c>
      <c r="B335" s="12" t="s">
        <v>22</v>
      </c>
      <c r="C335" s="12">
        <v>3</v>
      </c>
      <c r="D335" s="14" t="s">
        <v>30</v>
      </c>
      <c r="E335" s="12">
        <v>6</v>
      </c>
      <c r="F335" s="14" t="s">
        <v>25</v>
      </c>
      <c r="G335" s="12">
        <v>1.2788999999999999</v>
      </c>
      <c r="H335" s="12">
        <v>79.454599999999999</v>
      </c>
      <c r="I335" s="12">
        <f>H335-G335</f>
        <v>78.175700000000006</v>
      </c>
      <c r="J335" s="12">
        <v>5</v>
      </c>
      <c r="K335" s="12">
        <f t="shared" si="274"/>
        <v>57.157143750000003</v>
      </c>
      <c r="L335" s="12">
        <f t="shared" si="271"/>
        <v>1.3677327954303176</v>
      </c>
      <c r="M335" s="13"/>
      <c r="N335" s="13"/>
      <c r="O335" s="13"/>
      <c r="P335" s="13"/>
      <c r="Q335" s="13"/>
      <c r="R335" s="13"/>
      <c r="W335" s="12">
        <v>0</v>
      </c>
      <c r="X335" s="12">
        <v>0.14879999999999999</v>
      </c>
      <c r="Y335" s="12">
        <v>33.587299999999999</v>
      </c>
      <c r="Z335" s="12">
        <v>28.840599999999998</v>
      </c>
      <c r="AA335" s="12">
        <v>14.4602</v>
      </c>
      <c r="AB335" s="12">
        <v>1.3514999999999999</v>
      </c>
      <c r="AC335" s="12">
        <v>0.12889999999999999</v>
      </c>
      <c r="AD335" s="12">
        <v>0.1103</v>
      </c>
    </row>
    <row r="336" spans="1:30" s="12" customFormat="1">
      <c r="A336" s="12">
        <v>335</v>
      </c>
      <c r="B336" s="12" t="s">
        <v>22</v>
      </c>
      <c r="C336" s="12">
        <v>3</v>
      </c>
      <c r="D336" s="12" t="s">
        <v>30</v>
      </c>
      <c r="E336" s="12">
        <v>6</v>
      </c>
      <c r="F336" s="14" t="s">
        <v>26</v>
      </c>
      <c r="G336" s="12">
        <v>1.2885</v>
      </c>
      <c r="H336" s="12">
        <v>79.448299999999989</v>
      </c>
      <c r="I336" s="12">
        <f>H336-G336</f>
        <v>78.15979999999999</v>
      </c>
      <c r="J336" s="12">
        <v>5</v>
      </c>
      <c r="K336" s="12">
        <f t="shared" si="274"/>
        <v>57.157143750000003</v>
      </c>
      <c r="L336" s="12">
        <f t="shared" si="271"/>
        <v>1.3674546149797764</v>
      </c>
      <c r="S336" s="12">
        <f t="shared" ref="S336" si="288">R336-N336</f>
        <v>0</v>
      </c>
      <c r="T336" s="12" t="e">
        <f t="shared" ref="T336" si="289">((O336-S336)/O336)*100</f>
        <v>#DIV/0!</v>
      </c>
      <c r="U336" s="12" t="e">
        <f t="shared" si="277"/>
        <v>#DIV/0!</v>
      </c>
      <c r="V336" s="12" t="e">
        <f>L336*(U336/100)</f>
        <v>#DIV/0!</v>
      </c>
    </row>
    <row r="337" spans="1:30" s="12" customFormat="1">
      <c r="A337" s="12">
        <v>336</v>
      </c>
      <c r="B337" s="12" t="s">
        <v>22</v>
      </c>
      <c r="C337" s="12">
        <v>3</v>
      </c>
      <c r="D337" s="14" t="s">
        <v>30</v>
      </c>
      <c r="E337" s="12">
        <v>6</v>
      </c>
      <c r="F337" s="14" t="s">
        <v>27</v>
      </c>
      <c r="G337" s="12">
        <v>1.2844</v>
      </c>
      <c r="H337" s="12">
        <v>85.517100000000013</v>
      </c>
      <c r="I337" s="12">
        <f>H337-G337</f>
        <v>84.232700000000008</v>
      </c>
      <c r="J337" s="12">
        <v>5</v>
      </c>
      <c r="K337" s="12">
        <f t="shared" si="274"/>
        <v>57.157143750000003</v>
      </c>
      <c r="L337" s="12">
        <f t="shared" si="271"/>
        <v>1.4737038010231225</v>
      </c>
      <c r="M337" s="13"/>
      <c r="N337" s="13"/>
      <c r="O337" s="13"/>
      <c r="P337" s="13"/>
      <c r="Q337" s="13"/>
      <c r="R337" s="13"/>
      <c r="W337" s="12">
        <v>0</v>
      </c>
      <c r="X337" s="12">
        <v>1.2432000000000001</v>
      </c>
      <c r="Y337" s="12">
        <v>35.540300000000002</v>
      </c>
      <c r="Z337" s="12">
        <v>29.055199999999999</v>
      </c>
      <c r="AA337" s="12">
        <v>16.025600000000001</v>
      </c>
      <c r="AB337" s="12">
        <v>1.9072</v>
      </c>
      <c r="AC337" s="12">
        <v>0.21149999999999999</v>
      </c>
      <c r="AD337" s="12">
        <v>0.24970000000000001</v>
      </c>
    </row>
    <row r="338" spans="1:30">
      <c r="A338">
        <v>337</v>
      </c>
      <c r="B338" t="s">
        <v>32</v>
      </c>
      <c r="C338">
        <v>3</v>
      </c>
      <c r="D338" t="s">
        <v>23</v>
      </c>
      <c r="E338">
        <v>4</v>
      </c>
      <c r="F338" t="s">
        <v>24</v>
      </c>
      <c r="G338">
        <v>1.2718</v>
      </c>
      <c r="H338">
        <v>62.038400000000003</v>
      </c>
      <c r="I338">
        <f>H338-G338</f>
        <v>60.766600000000004</v>
      </c>
      <c r="J338">
        <v>5</v>
      </c>
      <c r="K338">
        <f t="shared" si="274"/>
        <v>57.157143750000003</v>
      </c>
      <c r="L338">
        <f t="shared" si="271"/>
        <v>1.063149695964295</v>
      </c>
      <c r="M338">
        <v>204</v>
      </c>
      <c r="N338">
        <v>39.578800000000001</v>
      </c>
      <c r="O338">
        <v>15.2698</v>
      </c>
      <c r="P338">
        <v>54.850499999999997</v>
      </c>
      <c r="Q338">
        <v>54.785600000000002</v>
      </c>
      <c r="R338">
        <v>54.304499999999997</v>
      </c>
      <c r="S338">
        <f t="shared" ref="S338" si="290">R338-N338</f>
        <v>14.725699999999996</v>
      </c>
      <c r="T338">
        <f t="shared" ref="T338" si="291">((O338-S338)/O338)*100</f>
        <v>3.5632424786179504</v>
      </c>
      <c r="U338">
        <f t="shared" si="277"/>
        <v>0.79529699144718025</v>
      </c>
      <c r="V338">
        <f>L338*(U338/100)</f>
        <v>8.4551975465838817E-3</v>
      </c>
    </row>
    <row r="339" spans="1:30">
      <c r="A339">
        <v>338</v>
      </c>
      <c r="B339" t="s">
        <v>32</v>
      </c>
      <c r="C339">
        <v>3</v>
      </c>
      <c r="D339" t="s">
        <v>23</v>
      </c>
      <c r="E339">
        <v>4</v>
      </c>
      <c r="F339" t="s">
        <v>25</v>
      </c>
      <c r="G339">
        <v>1.2835000000000001</v>
      </c>
      <c r="H339">
        <v>62.3414</v>
      </c>
      <c r="I339">
        <f>H339-G339</f>
        <v>61.057900000000004</v>
      </c>
      <c r="J339">
        <v>5</v>
      </c>
      <c r="K339">
        <f t="shared" si="274"/>
        <v>57.157143750000003</v>
      </c>
      <c r="L339">
        <f t="shared" si="271"/>
        <v>1.0682461717657121</v>
      </c>
      <c r="M339" s="4"/>
      <c r="N339" s="4"/>
      <c r="O339" s="4"/>
      <c r="P339" s="4"/>
      <c r="Q339" s="4"/>
      <c r="R339" s="4"/>
      <c r="W339">
        <v>0</v>
      </c>
      <c r="X339">
        <v>1.4961</v>
      </c>
      <c r="Y339">
        <v>10.7354</v>
      </c>
      <c r="Z339">
        <v>15.8659</v>
      </c>
      <c r="AA339">
        <v>21.299099999999999</v>
      </c>
      <c r="AB339">
        <v>4.8188000000000004</v>
      </c>
      <c r="AC339">
        <v>1.4613</v>
      </c>
      <c r="AD339">
        <v>3.7010000000000001</v>
      </c>
    </row>
    <row r="340" spans="1:30">
      <c r="A340">
        <v>339</v>
      </c>
      <c r="B340" t="s">
        <v>32</v>
      </c>
      <c r="C340">
        <v>3</v>
      </c>
      <c r="D340" t="s">
        <v>23</v>
      </c>
      <c r="E340">
        <v>4</v>
      </c>
      <c r="F340" t="s">
        <v>26</v>
      </c>
      <c r="G340">
        <v>1.2810999999999999</v>
      </c>
      <c r="H340">
        <v>90.299099999999996</v>
      </c>
      <c r="I340">
        <f>H340-G340</f>
        <v>89.018000000000001</v>
      </c>
      <c r="J340">
        <v>5</v>
      </c>
      <c r="K340">
        <f t="shared" si="274"/>
        <v>57.157143750000003</v>
      </c>
      <c r="L340">
        <f t="shared" si="271"/>
        <v>1.5574256192604095</v>
      </c>
      <c r="M340">
        <v>120</v>
      </c>
      <c r="N340">
        <v>37.713200000000001</v>
      </c>
      <c r="O340">
        <v>15.824400000000001</v>
      </c>
      <c r="P340">
        <v>53.538600000000002</v>
      </c>
      <c r="Q340">
        <v>53.483699999999999</v>
      </c>
      <c r="R340">
        <v>53.0867</v>
      </c>
      <c r="S340">
        <f t="shared" ref="S340" si="292">R340-N340</f>
        <v>15.3735</v>
      </c>
      <c r="T340">
        <f t="shared" ref="T340" si="293">((O340-S340)/O340)*100</f>
        <v>2.8493971335406125</v>
      </c>
      <c r="U340">
        <f t="shared" si="277"/>
        <v>0.50975885341624505</v>
      </c>
      <c r="V340">
        <f>L340*(U340/100)</f>
        <v>7.9391149795527173E-3</v>
      </c>
    </row>
    <row r="341" spans="1:30">
      <c r="A341">
        <v>340</v>
      </c>
      <c r="B341" t="s">
        <v>32</v>
      </c>
      <c r="C341">
        <v>3</v>
      </c>
      <c r="D341" t="s">
        <v>23</v>
      </c>
      <c r="E341">
        <v>4</v>
      </c>
      <c r="F341" t="s">
        <v>27</v>
      </c>
      <c r="G341">
        <v>1.2754000000000001</v>
      </c>
      <c r="H341">
        <v>84.4405</v>
      </c>
      <c r="I341">
        <f>H341-G341</f>
        <v>83.165099999999995</v>
      </c>
      <c r="J341">
        <v>5</v>
      </c>
      <c r="K341">
        <f t="shared" si="274"/>
        <v>57.157143750000003</v>
      </c>
      <c r="L341">
        <f t="shared" si="271"/>
        <v>1.4550254708975026</v>
      </c>
      <c r="M341" s="4"/>
      <c r="N341" s="4"/>
      <c r="O341" s="4"/>
      <c r="P341" s="4"/>
      <c r="Q341" s="4"/>
      <c r="R341" s="4"/>
      <c r="W341">
        <v>0</v>
      </c>
      <c r="X341">
        <v>0.498</v>
      </c>
      <c r="Y341">
        <v>10.3165</v>
      </c>
      <c r="Z341">
        <v>21.653600000000001</v>
      </c>
      <c r="AA341">
        <v>34.7864</v>
      </c>
      <c r="AB341">
        <v>7.8079000000000001</v>
      </c>
      <c r="AC341">
        <v>2.4163000000000001</v>
      </c>
      <c r="AD341">
        <v>5.5787000000000004</v>
      </c>
    </row>
    <row r="342" spans="1:30">
      <c r="A342">
        <v>341</v>
      </c>
      <c r="B342" t="s">
        <v>32</v>
      </c>
      <c r="C342">
        <v>3</v>
      </c>
      <c r="D342" t="s">
        <v>28</v>
      </c>
      <c r="E342">
        <v>4</v>
      </c>
      <c r="F342" t="s">
        <v>24</v>
      </c>
      <c r="G342">
        <v>1.2688999999999999</v>
      </c>
      <c r="H342">
        <v>86.153300000000002</v>
      </c>
      <c r="I342">
        <f>H342-G342</f>
        <v>84.884399999999999</v>
      </c>
      <c r="J342">
        <v>5</v>
      </c>
      <c r="K342">
        <f t="shared" si="274"/>
        <v>57.157143750000003</v>
      </c>
      <c r="L342">
        <f t="shared" si="271"/>
        <v>1.4851057003701309</v>
      </c>
      <c r="M342">
        <v>307</v>
      </c>
      <c r="N342">
        <v>40.426699999999997</v>
      </c>
      <c r="O342">
        <v>15.706099999999999</v>
      </c>
      <c r="P342">
        <v>56.133099999999999</v>
      </c>
      <c r="Q342">
        <v>56.067100000000003</v>
      </c>
      <c r="R342">
        <v>55.552399999999999</v>
      </c>
      <c r="S342">
        <f t="shared" ref="S342" si="294">R342-N342</f>
        <v>15.125700000000002</v>
      </c>
      <c r="T342">
        <f t="shared" ref="T342" si="295">((O342-S342)/O342)*100</f>
        <v>3.6953795022316003</v>
      </c>
      <c r="U342">
        <f t="shared" si="277"/>
        <v>0.8481518008926402</v>
      </c>
      <c r="V342">
        <f>L342*(U342/100)</f>
        <v>1.2595950742848522E-2</v>
      </c>
    </row>
    <row r="343" spans="1:30">
      <c r="A343">
        <v>342</v>
      </c>
      <c r="B343" t="s">
        <v>32</v>
      </c>
      <c r="C343">
        <v>3</v>
      </c>
      <c r="D343" t="s">
        <v>28</v>
      </c>
      <c r="E343">
        <v>4</v>
      </c>
      <c r="F343" t="s">
        <v>25</v>
      </c>
      <c r="G343">
        <v>1.2698</v>
      </c>
      <c r="H343">
        <v>79.293300000000002</v>
      </c>
      <c r="I343">
        <f>H343-G343</f>
        <v>78.023499999999999</v>
      </c>
      <c r="J343">
        <v>5</v>
      </c>
      <c r="K343">
        <f t="shared" si="274"/>
        <v>57.157143750000003</v>
      </c>
      <c r="L343">
        <f t="shared" si="271"/>
        <v>1.3650699611804866</v>
      </c>
      <c r="M343" s="4"/>
      <c r="N343" s="4"/>
      <c r="O343" s="4"/>
      <c r="P343" s="4"/>
      <c r="Q343" s="4"/>
      <c r="R343" s="4"/>
      <c r="W343">
        <v>0</v>
      </c>
      <c r="X343">
        <v>3.7378</v>
      </c>
      <c r="Y343">
        <v>13.425000000000001</v>
      </c>
      <c r="Z343">
        <v>17.161300000000001</v>
      </c>
      <c r="AA343">
        <v>25.061699999999998</v>
      </c>
      <c r="AB343">
        <v>6.8236999999999997</v>
      </c>
      <c r="AC343">
        <v>2.3466200000000002</v>
      </c>
      <c r="AD343">
        <v>6.0420999999999996</v>
      </c>
    </row>
    <row r="344" spans="1:30">
      <c r="A344">
        <v>343</v>
      </c>
      <c r="B344" t="s">
        <v>32</v>
      </c>
      <c r="C344">
        <v>3</v>
      </c>
      <c r="D344" t="s">
        <v>28</v>
      </c>
      <c r="E344">
        <v>4</v>
      </c>
      <c r="F344" t="s">
        <v>26</v>
      </c>
      <c r="G344">
        <v>1.2827999999999999</v>
      </c>
      <c r="H344">
        <v>97.550899999999999</v>
      </c>
      <c r="I344">
        <f>H344-G344</f>
        <v>96.268100000000004</v>
      </c>
      <c r="J344">
        <v>5</v>
      </c>
      <c r="K344">
        <f t="shared" si="274"/>
        <v>57.157143750000003</v>
      </c>
      <c r="L344">
        <f t="shared" si="271"/>
        <v>1.6842706560192662</v>
      </c>
      <c r="M344">
        <v>306</v>
      </c>
      <c r="N344">
        <v>37.840899999999998</v>
      </c>
      <c r="O344">
        <v>15.742100000000001</v>
      </c>
      <c r="P344">
        <v>53.583599999999997</v>
      </c>
      <c r="Q344">
        <v>53.530500000000004</v>
      </c>
      <c r="R344">
        <v>53.133899999999997</v>
      </c>
      <c r="S344">
        <f t="shared" ref="S344" si="296">R344-N344</f>
        <v>15.292999999999999</v>
      </c>
      <c r="T344">
        <f t="shared" ref="T344" si="297">((O344-S344)/O344)*100</f>
        <v>2.8528595295418109</v>
      </c>
      <c r="U344">
        <f t="shared" si="277"/>
        <v>0.5111438118167243</v>
      </c>
      <c r="V344">
        <f>L344*(U344/100)</f>
        <v>8.6090452324874261E-3</v>
      </c>
    </row>
    <row r="345" spans="1:30">
      <c r="A345">
        <v>344</v>
      </c>
      <c r="B345" t="s">
        <v>32</v>
      </c>
      <c r="C345">
        <v>3</v>
      </c>
      <c r="D345" t="s">
        <v>28</v>
      </c>
      <c r="E345">
        <v>4</v>
      </c>
      <c r="F345" t="s">
        <v>27</v>
      </c>
      <c r="G345">
        <v>1.2775000000000001</v>
      </c>
      <c r="H345">
        <v>90.507000000000005</v>
      </c>
      <c r="I345">
        <f>H345-G345</f>
        <v>89.229500000000002</v>
      </c>
      <c r="J345">
        <v>5</v>
      </c>
      <c r="K345">
        <f t="shared" si="274"/>
        <v>57.157143750000003</v>
      </c>
      <c r="L345">
        <f t="shared" si="271"/>
        <v>1.5611259441213767</v>
      </c>
      <c r="M345" s="4"/>
      <c r="N345" s="4"/>
      <c r="O345" s="4"/>
      <c r="P345" s="4"/>
      <c r="Q345" s="4"/>
      <c r="R345" s="4"/>
      <c r="W345">
        <v>0</v>
      </c>
      <c r="X345">
        <v>1.1387</v>
      </c>
      <c r="Y345">
        <v>12.567600000000001</v>
      </c>
      <c r="Z345">
        <v>20.283339999999999</v>
      </c>
      <c r="AA345">
        <v>34.552</v>
      </c>
      <c r="AB345">
        <v>9.6181000000000001</v>
      </c>
      <c r="AC345">
        <v>3.0396999999999998</v>
      </c>
      <c r="AD345">
        <v>6.7896999999999998</v>
      </c>
    </row>
    <row r="346" spans="1:30">
      <c r="A346">
        <v>345</v>
      </c>
      <c r="B346" t="s">
        <v>32</v>
      </c>
      <c r="C346">
        <v>3</v>
      </c>
      <c r="D346" t="s">
        <v>29</v>
      </c>
      <c r="E346">
        <v>4</v>
      </c>
      <c r="F346" t="s">
        <v>24</v>
      </c>
      <c r="G346">
        <v>1.2789999999999999</v>
      </c>
      <c r="H346">
        <v>81.886899999999997</v>
      </c>
      <c r="I346">
        <f>H346-G346</f>
        <v>80.607900000000001</v>
      </c>
      <c r="J346">
        <v>5</v>
      </c>
      <c r="K346">
        <f t="shared" si="274"/>
        <v>57.157143750000003</v>
      </c>
      <c r="L346">
        <f t="shared" si="271"/>
        <v>1.4102856565501489</v>
      </c>
      <c r="M346">
        <v>4</v>
      </c>
      <c r="N346">
        <v>37.544890000000002</v>
      </c>
      <c r="O346">
        <v>15.7172</v>
      </c>
      <c r="P346">
        <v>53.266100000000002</v>
      </c>
      <c r="Q346">
        <v>53.200499999999998</v>
      </c>
      <c r="R346">
        <v>52.716200000000001</v>
      </c>
      <c r="S346">
        <f t="shared" ref="S346" si="298">R346-N346</f>
        <v>15.171309999999998</v>
      </c>
      <c r="T346">
        <f t="shared" ref="T346" si="299">((O346-S346)/O346)*100</f>
        <v>3.4732013335708767</v>
      </c>
      <c r="U346">
        <f t="shared" si="277"/>
        <v>0.75928053342835067</v>
      </c>
      <c r="V346">
        <f>L346*(U346/100)</f>
        <v>1.0708024455917488E-2</v>
      </c>
    </row>
    <row r="347" spans="1:30">
      <c r="A347">
        <v>346</v>
      </c>
      <c r="B347" t="s">
        <v>32</v>
      </c>
      <c r="C347">
        <v>3</v>
      </c>
      <c r="D347" s="5" t="s">
        <v>29</v>
      </c>
      <c r="E347">
        <v>4</v>
      </c>
      <c r="F347" t="s">
        <v>25</v>
      </c>
      <c r="G347">
        <v>1.2625999999999999</v>
      </c>
      <c r="H347">
        <v>82.057599999999994</v>
      </c>
      <c r="I347">
        <f>H347-G347</f>
        <v>80.794999999999987</v>
      </c>
      <c r="J347">
        <v>5</v>
      </c>
      <c r="K347">
        <f t="shared" si="274"/>
        <v>57.157143750000003</v>
      </c>
      <c r="L347">
        <f t="shared" si="271"/>
        <v>1.4135590881411038</v>
      </c>
      <c r="M347" s="4"/>
      <c r="N347" s="4"/>
      <c r="O347" s="4"/>
      <c r="P347" s="4"/>
      <c r="Q347" s="4"/>
      <c r="R347" s="4"/>
      <c r="W347">
        <v>0</v>
      </c>
      <c r="X347">
        <v>1.3983000000000001</v>
      </c>
      <c r="Y347">
        <v>14.1663</v>
      </c>
      <c r="Z347">
        <v>19.0031</v>
      </c>
      <c r="AA347">
        <v>24.892600000000002</v>
      </c>
      <c r="AB347">
        <v>8.7187000000000001</v>
      </c>
      <c r="AC347">
        <v>3.1423999999999999</v>
      </c>
      <c r="AD347">
        <v>8.016</v>
      </c>
    </row>
    <row r="348" spans="1:30">
      <c r="A348">
        <v>347</v>
      </c>
      <c r="B348" t="s">
        <v>32</v>
      </c>
      <c r="C348">
        <v>3</v>
      </c>
      <c r="D348" t="s">
        <v>29</v>
      </c>
      <c r="E348">
        <v>4</v>
      </c>
      <c r="F348" t="s">
        <v>26</v>
      </c>
      <c r="G348">
        <v>1.2781</v>
      </c>
      <c r="H348">
        <v>70.850300000000004</v>
      </c>
      <c r="I348">
        <f>H348-G348</f>
        <v>69.572200000000009</v>
      </c>
      <c r="J348">
        <v>5</v>
      </c>
      <c r="K348">
        <f t="shared" si="274"/>
        <v>57.157143750000003</v>
      </c>
      <c r="L348">
        <f t="shared" si="271"/>
        <v>1.217209178686435</v>
      </c>
      <c r="M348">
        <v>301</v>
      </c>
      <c r="N348">
        <v>38.754800000000003</v>
      </c>
      <c r="O348">
        <v>15.5655</v>
      </c>
      <c r="P348">
        <v>54.318199999999997</v>
      </c>
      <c r="Q348">
        <v>54.2545</v>
      </c>
      <c r="R348">
        <v>53.753700000000002</v>
      </c>
      <c r="S348">
        <f t="shared" ref="S348" si="300">R348-N348</f>
        <v>14.998899999999999</v>
      </c>
      <c r="T348">
        <f t="shared" ref="T348" si="301">((O348-S348)/O348)*100</f>
        <v>3.6401015065368996</v>
      </c>
      <c r="U348">
        <f t="shared" si="277"/>
        <v>0.82604060261475987</v>
      </c>
      <c r="V348">
        <f>L348*(U348/100)</f>
        <v>1.0054642034703597E-2</v>
      </c>
    </row>
    <row r="349" spans="1:30">
      <c r="A349">
        <v>348</v>
      </c>
      <c r="B349" t="s">
        <v>32</v>
      </c>
      <c r="C349">
        <v>3</v>
      </c>
      <c r="D349" s="5" t="s">
        <v>29</v>
      </c>
      <c r="E349">
        <v>4</v>
      </c>
      <c r="F349" t="s">
        <v>27</v>
      </c>
      <c r="G349">
        <v>1.2703</v>
      </c>
      <c r="H349">
        <v>78.974500000000006</v>
      </c>
      <c r="I349">
        <f>H349-G349</f>
        <v>77.7042</v>
      </c>
      <c r="J349">
        <v>5</v>
      </c>
      <c r="K349">
        <f t="shared" si="274"/>
        <v>57.157143750000003</v>
      </c>
      <c r="L349">
        <f t="shared" si="271"/>
        <v>1.3594836078561046</v>
      </c>
      <c r="M349" s="4"/>
      <c r="N349" s="4"/>
      <c r="O349" s="4"/>
      <c r="P349" s="4"/>
      <c r="Q349" s="4"/>
      <c r="R349" s="4"/>
      <c r="W349">
        <v>0</v>
      </c>
      <c r="X349">
        <v>3.0451000000000001</v>
      </c>
      <c r="Y349">
        <v>15.6427</v>
      </c>
      <c r="Z349">
        <v>18.1357</v>
      </c>
      <c r="AA349">
        <v>22.432200000000002</v>
      </c>
      <c r="AB349">
        <v>7.5949</v>
      </c>
      <c r="AC349">
        <v>2.6520999999999999</v>
      </c>
      <c r="AD349">
        <v>6.4901</v>
      </c>
    </row>
    <row r="350" spans="1:30">
      <c r="A350">
        <v>349</v>
      </c>
      <c r="B350" t="s">
        <v>32</v>
      </c>
      <c r="C350">
        <v>3</v>
      </c>
      <c r="D350" t="s">
        <v>30</v>
      </c>
      <c r="E350">
        <v>4</v>
      </c>
      <c r="F350" t="s">
        <v>24</v>
      </c>
      <c r="G350">
        <v>1.2806</v>
      </c>
      <c r="H350">
        <v>64.936800000000005</v>
      </c>
      <c r="I350">
        <f>H350-G350</f>
        <v>63.656200000000005</v>
      </c>
      <c r="J350">
        <v>5</v>
      </c>
      <c r="K350">
        <f t="shared" si="274"/>
        <v>57.157143750000003</v>
      </c>
      <c r="L350">
        <f t="shared" si="271"/>
        <v>1.113705056334275</v>
      </c>
      <c r="M350">
        <v>202</v>
      </c>
      <c r="N350">
        <v>39.373399999999997</v>
      </c>
      <c r="O350">
        <v>15.686999999999999</v>
      </c>
      <c r="P350">
        <v>55.060699999999997</v>
      </c>
      <c r="Q350">
        <v>54.995199999999997</v>
      </c>
      <c r="R350">
        <v>54.507899999999999</v>
      </c>
      <c r="S350">
        <f t="shared" ref="S350" si="302">R350-N350</f>
        <v>15.134500000000003</v>
      </c>
      <c r="T350">
        <f t="shared" ref="T350" si="303">((O350-S350)/O350)*100</f>
        <v>3.522024606361934</v>
      </c>
      <c r="U350">
        <f t="shared" si="277"/>
        <v>0.7788098425447737</v>
      </c>
      <c r="V350">
        <f>L350*(U350/100)</f>
        <v>8.6736445956501502E-3</v>
      </c>
    </row>
    <row r="351" spans="1:30">
      <c r="A351">
        <v>350</v>
      </c>
      <c r="B351" t="s">
        <v>32</v>
      </c>
      <c r="C351">
        <v>3</v>
      </c>
      <c r="D351" s="5" t="s">
        <v>30</v>
      </c>
      <c r="E351">
        <v>4</v>
      </c>
      <c r="F351" t="s">
        <v>25</v>
      </c>
      <c r="G351">
        <v>1.2749999999999999</v>
      </c>
      <c r="H351">
        <v>65.615899999999996</v>
      </c>
      <c r="I351">
        <f>H351-G351</f>
        <v>64.340899999999991</v>
      </c>
      <c r="J351">
        <v>5</v>
      </c>
      <c r="K351">
        <f t="shared" si="274"/>
        <v>57.157143750000003</v>
      </c>
      <c r="L351">
        <f t="shared" si="271"/>
        <v>1.125684311333349</v>
      </c>
      <c r="M351" s="4"/>
      <c r="N351" s="4"/>
      <c r="O351" s="4"/>
      <c r="P351" s="4"/>
      <c r="Q351" s="4"/>
      <c r="R351" s="4"/>
      <c r="W351">
        <v>0</v>
      </c>
      <c r="X351">
        <v>4.2401</v>
      </c>
      <c r="Y351">
        <v>14.114100000000001</v>
      </c>
      <c r="Z351">
        <v>14.2746</v>
      </c>
      <c r="AA351">
        <v>17.803799999999999</v>
      </c>
      <c r="AB351">
        <v>5.3795999999999999</v>
      </c>
      <c r="AC351">
        <v>1.7084999999999999</v>
      </c>
      <c r="AD351">
        <v>4.2427999999999999</v>
      </c>
    </row>
    <row r="352" spans="1:30">
      <c r="A352">
        <v>351</v>
      </c>
      <c r="B352" t="s">
        <v>32</v>
      </c>
      <c r="C352">
        <v>3</v>
      </c>
      <c r="D352" t="s">
        <v>30</v>
      </c>
      <c r="E352">
        <v>4</v>
      </c>
      <c r="F352" t="s">
        <v>26</v>
      </c>
      <c r="G352">
        <v>1.2754000000000001</v>
      </c>
      <c r="H352">
        <v>77.788499999999999</v>
      </c>
      <c r="I352">
        <f>H352-G352</f>
        <v>76.513099999999994</v>
      </c>
      <c r="J352">
        <v>5</v>
      </c>
      <c r="K352">
        <f t="shared" si="274"/>
        <v>57.157143750000003</v>
      </c>
      <c r="L352">
        <f t="shared" si="271"/>
        <v>1.338644567941693</v>
      </c>
      <c r="M352">
        <v>203</v>
      </c>
      <c r="N352">
        <v>40.570599999999999</v>
      </c>
      <c r="O352">
        <v>15.2995</v>
      </c>
      <c r="P352">
        <v>55.868899999999996</v>
      </c>
      <c r="Q352">
        <v>55.804099999999998</v>
      </c>
      <c r="R352">
        <v>55.3491</v>
      </c>
      <c r="S352">
        <f t="shared" ref="S352" si="304">R352-N352</f>
        <v>14.778500000000001</v>
      </c>
      <c r="T352">
        <f t="shared" ref="T352" si="305">((O352-S352)/O352)*100</f>
        <v>3.4053400437922745</v>
      </c>
      <c r="U352">
        <f t="shared" si="277"/>
        <v>0.73213601751690993</v>
      </c>
      <c r="V352">
        <f>L352*(U352/100)</f>
        <v>9.8006990284347575E-3</v>
      </c>
    </row>
    <row r="353" spans="1:30">
      <c r="A353">
        <v>352</v>
      </c>
      <c r="B353" t="s">
        <v>32</v>
      </c>
      <c r="C353">
        <v>3</v>
      </c>
      <c r="D353" s="5" t="s">
        <v>30</v>
      </c>
      <c r="E353">
        <v>4</v>
      </c>
      <c r="F353" t="s">
        <v>27</v>
      </c>
      <c r="G353">
        <v>1.2785</v>
      </c>
      <c r="H353">
        <v>77.315700000000007</v>
      </c>
      <c r="I353">
        <f>H353-G353</f>
        <v>76.037200000000013</v>
      </c>
      <c r="J353">
        <v>5</v>
      </c>
      <c r="K353">
        <f t="shared" si="274"/>
        <v>57.157143750000003</v>
      </c>
      <c r="L353">
        <f t="shared" si="271"/>
        <v>1.3303183996138717</v>
      </c>
      <c r="M353" s="4"/>
      <c r="N353" s="4"/>
      <c r="O353" s="4"/>
      <c r="P353" s="4"/>
      <c r="Q353" s="4"/>
      <c r="R353" s="4"/>
      <c r="W353">
        <v>0</v>
      </c>
      <c r="X353">
        <v>4.2663000000000002</v>
      </c>
      <c r="Y353">
        <v>13.514200000000001</v>
      </c>
      <c r="Z353">
        <v>14.803699999999999</v>
      </c>
      <c r="AA353">
        <v>19.535299999999999</v>
      </c>
      <c r="AB353">
        <v>7.4421999999999997</v>
      </c>
      <c r="AC353">
        <v>2.5449999999999999</v>
      </c>
      <c r="AD353">
        <v>5.6487999999999996</v>
      </c>
    </row>
    <row r="354" spans="1:30">
      <c r="A354">
        <v>353</v>
      </c>
      <c r="B354" t="s">
        <v>32</v>
      </c>
      <c r="C354">
        <v>3</v>
      </c>
      <c r="D354" t="s">
        <v>23</v>
      </c>
      <c r="E354">
        <v>5</v>
      </c>
      <c r="F354" s="5" t="s">
        <v>24</v>
      </c>
      <c r="G354">
        <v>1.2782</v>
      </c>
      <c r="H354">
        <v>82.328199999999995</v>
      </c>
      <c r="I354">
        <f>H354-G354</f>
        <v>81.05</v>
      </c>
      <c r="J354">
        <v>5</v>
      </c>
      <c r="K354">
        <f t="shared" si="274"/>
        <v>57.157143750000003</v>
      </c>
      <c r="L354">
        <f t="shared" si="271"/>
        <v>1.4180204727252488</v>
      </c>
      <c r="M354">
        <v>311</v>
      </c>
      <c r="N354">
        <v>40.779000000000003</v>
      </c>
      <c r="O354">
        <v>15.5867</v>
      </c>
      <c r="P354">
        <v>56.364400000000003</v>
      </c>
      <c r="Q354">
        <v>56.310400000000001</v>
      </c>
      <c r="R354">
        <v>55.884599999999999</v>
      </c>
      <c r="S354">
        <f t="shared" ref="S354" si="306">R354-N354</f>
        <v>15.105599999999995</v>
      </c>
      <c r="T354">
        <f t="shared" ref="T354" si="307">((O354-S354)/O354)*100</f>
        <v>3.0866058883535641</v>
      </c>
      <c r="U354">
        <f t="shared" si="277"/>
        <v>0.60464235534142563</v>
      </c>
      <c r="V354">
        <f>L354*(U354/100)</f>
        <v>8.5739523855095628E-3</v>
      </c>
    </row>
    <row r="355" spans="1:30">
      <c r="A355">
        <v>354</v>
      </c>
      <c r="B355" t="s">
        <v>32</v>
      </c>
      <c r="C355">
        <v>3</v>
      </c>
      <c r="D355" t="s">
        <v>23</v>
      </c>
      <c r="E355">
        <v>5</v>
      </c>
      <c r="F355" s="5" t="s">
        <v>25</v>
      </c>
      <c r="G355">
        <v>1.2653000000000001</v>
      </c>
      <c r="H355">
        <v>75.491200000000006</v>
      </c>
      <c r="I355">
        <f>H355-G355</f>
        <v>74.22590000000001</v>
      </c>
      <c r="J355">
        <v>5</v>
      </c>
      <c r="K355">
        <f t="shared" si="274"/>
        <v>57.157143750000003</v>
      </c>
      <c r="L355">
        <f t="shared" si="271"/>
        <v>1.2986285725657871</v>
      </c>
      <c r="M355" s="4"/>
      <c r="N355" s="4"/>
      <c r="O355" s="4"/>
      <c r="P355" s="4"/>
      <c r="Q355" s="4"/>
      <c r="R355" s="4"/>
      <c r="W355">
        <v>0</v>
      </c>
      <c r="X355">
        <v>0.4345</v>
      </c>
      <c r="Y355">
        <v>11.426299999999999</v>
      </c>
      <c r="Z355">
        <v>23.677600000000002</v>
      </c>
      <c r="AA355">
        <v>29.234999999999999</v>
      </c>
      <c r="AB355">
        <v>4.5647000000000002</v>
      </c>
      <c r="AC355">
        <v>1.1068</v>
      </c>
      <c r="AD355">
        <v>2.5722999999999998</v>
      </c>
    </row>
    <row r="356" spans="1:30">
      <c r="A356">
        <v>355</v>
      </c>
      <c r="B356" t="s">
        <v>32</v>
      </c>
      <c r="C356">
        <v>3</v>
      </c>
      <c r="D356" t="s">
        <v>23</v>
      </c>
      <c r="E356">
        <v>5</v>
      </c>
      <c r="F356" s="5" t="s">
        <v>26</v>
      </c>
      <c r="G356">
        <v>1.2652000000000001</v>
      </c>
      <c r="H356">
        <v>79.976699999999994</v>
      </c>
      <c r="I356">
        <f>H356-G356</f>
        <v>78.711500000000001</v>
      </c>
      <c r="J356">
        <v>5</v>
      </c>
      <c r="K356">
        <f t="shared" si="274"/>
        <v>57.157143750000003</v>
      </c>
      <c r="L356">
        <f t="shared" si="271"/>
        <v>1.3771069517447676</v>
      </c>
      <c r="M356">
        <v>140</v>
      </c>
      <c r="N356">
        <v>38.648000000000003</v>
      </c>
      <c r="O356">
        <v>15.7128</v>
      </c>
      <c r="P356">
        <v>54.360199999999999</v>
      </c>
      <c r="Q356">
        <v>54.306800000000003</v>
      </c>
      <c r="R356">
        <v>53.908299999999997</v>
      </c>
      <c r="S356">
        <f t="shared" ref="S356" si="308">R356-N356</f>
        <v>15.260299999999994</v>
      </c>
      <c r="T356">
        <f t="shared" ref="T356" si="309">((O356-S356)/O356)*100</f>
        <v>2.8798177282216146</v>
      </c>
      <c r="U356">
        <f t="shared" si="277"/>
        <v>0.52192709128864589</v>
      </c>
      <c r="V356">
        <f>L356*(U356/100)</f>
        <v>7.1874942571752021E-3</v>
      </c>
    </row>
    <row r="357" spans="1:30">
      <c r="A357">
        <v>356</v>
      </c>
      <c r="B357" t="s">
        <v>32</v>
      </c>
      <c r="C357">
        <v>3</v>
      </c>
      <c r="D357" t="s">
        <v>23</v>
      </c>
      <c r="E357">
        <v>5</v>
      </c>
      <c r="F357" s="5" t="s">
        <v>27</v>
      </c>
      <c r="G357">
        <v>1.272</v>
      </c>
      <c r="H357">
        <v>84.405100000000004</v>
      </c>
      <c r="I357">
        <f>H357-G357</f>
        <v>83.133099999999999</v>
      </c>
      <c r="J357">
        <v>5</v>
      </c>
      <c r="K357">
        <f t="shared" si="274"/>
        <v>57.157143750000003</v>
      </c>
      <c r="L357">
        <f t="shared" si="271"/>
        <v>1.4544656108712568</v>
      </c>
      <c r="M357" s="4"/>
      <c r="N357" s="4"/>
      <c r="O357" s="4"/>
      <c r="P357" s="4"/>
      <c r="Q357" s="4"/>
      <c r="R357" s="4"/>
      <c r="W357">
        <v>0</v>
      </c>
      <c r="X357">
        <v>0.48870000000000002</v>
      </c>
      <c r="Y357">
        <v>8.3780000000000001</v>
      </c>
      <c r="Z357">
        <v>24.830300000000001</v>
      </c>
      <c r="AA357">
        <v>39.614899999999999</v>
      </c>
      <c r="AB357">
        <v>6.0460000000000003</v>
      </c>
      <c r="AC357">
        <v>1.1954</v>
      </c>
      <c r="AD357">
        <v>2.4272</v>
      </c>
    </row>
    <row r="358" spans="1:30">
      <c r="A358">
        <v>357</v>
      </c>
      <c r="B358" t="s">
        <v>32</v>
      </c>
      <c r="C358">
        <v>3</v>
      </c>
      <c r="D358" t="s">
        <v>28</v>
      </c>
      <c r="E358">
        <v>5</v>
      </c>
      <c r="F358" s="5" t="s">
        <v>24</v>
      </c>
      <c r="G358">
        <v>1.2781</v>
      </c>
      <c r="H358">
        <v>80.528800000000004</v>
      </c>
      <c r="I358">
        <f>H358-G358</f>
        <v>79.250700000000009</v>
      </c>
      <c r="J358">
        <v>5</v>
      </c>
      <c r="K358">
        <f t="shared" si="274"/>
        <v>57.157143750000003</v>
      </c>
      <c r="L358">
        <f t="shared" si="271"/>
        <v>1.3865405931870065</v>
      </c>
      <c r="M358">
        <v>103</v>
      </c>
      <c r="N358">
        <v>38.909399999999998</v>
      </c>
      <c r="O358">
        <v>15.5297</v>
      </c>
      <c r="P358">
        <v>54.439100000000003</v>
      </c>
      <c r="Q358">
        <v>54.378300000000003</v>
      </c>
      <c r="R358">
        <v>53.899500000000003</v>
      </c>
      <c r="S358">
        <f t="shared" ref="S358" si="310">R358-N358</f>
        <v>14.990100000000005</v>
      </c>
      <c r="T358">
        <f t="shared" ref="T358" si="311">((O358-S358)/O358)*100</f>
        <v>3.4746324784122984</v>
      </c>
      <c r="U358">
        <f t="shared" si="277"/>
        <v>0.75985299136491935</v>
      </c>
      <c r="V358">
        <f>L358*(U358/100)</f>
        <v>1.0535670173820367E-2</v>
      </c>
    </row>
    <row r="359" spans="1:30">
      <c r="A359">
        <v>358</v>
      </c>
      <c r="B359" t="s">
        <v>32</v>
      </c>
      <c r="C359">
        <v>3</v>
      </c>
      <c r="D359" t="s">
        <v>28</v>
      </c>
      <c r="E359">
        <v>5</v>
      </c>
      <c r="F359" s="5" t="s">
        <v>25</v>
      </c>
      <c r="G359">
        <v>1.2766999999999999</v>
      </c>
      <c r="H359">
        <v>71.754199999999997</v>
      </c>
      <c r="I359">
        <f>H359-G359</f>
        <v>70.477499999999992</v>
      </c>
      <c r="J359">
        <v>5</v>
      </c>
      <c r="K359">
        <f t="shared" si="274"/>
        <v>57.157143750000003</v>
      </c>
      <c r="L359">
        <f t="shared" si="271"/>
        <v>1.23304796874144</v>
      </c>
      <c r="M359" s="4"/>
      <c r="N359" s="4"/>
      <c r="O359" s="4"/>
      <c r="P359" s="4"/>
      <c r="Q359" s="4"/>
      <c r="R359" s="4"/>
      <c r="W359">
        <v>0</v>
      </c>
      <c r="X359">
        <v>1.3616999999999999</v>
      </c>
      <c r="Y359">
        <v>9.3770000000000007</v>
      </c>
      <c r="Z359">
        <v>18.717700000000001</v>
      </c>
      <c r="AA359">
        <v>27.049900000000001</v>
      </c>
      <c r="AB359">
        <v>5.1990999999999996</v>
      </c>
      <c r="AC359">
        <v>1.3384</v>
      </c>
      <c r="AD359">
        <v>3.4388000000000001</v>
      </c>
    </row>
    <row r="360" spans="1:30">
      <c r="A360">
        <v>359</v>
      </c>
      <c r="B360" t="s">
        <v>32</v>
      </c>
      <c r="C360">
        <v>3</v>
      </c>
      <c r="D360" t="s">
        <v>28</v>
      </c>
      <c r="E360">
        <v>5</v>
      </c>
      <c r="F360" s="5" t="s">
        <v>26</v>
      </c>
      <c r="G360">
        <v>1.2809999999999999</v>
      </c>
      <c r="H360">
        <v>94.331999999999994</v>
      </c>
      <c r="I360">
        <f>H360-G360</f>
        <v>93.050999999999988</v>
      </c>
      <c r="J360">
        <v>5</v>
      </c>
      <c r="K360">
        <f t="shared" si="274"/>
        <v>57.157143750000003</v>
      </c>
      <c r="L360">
        <f t="shared" si="271"/>
        <v>1.6279854781931784</v>
      </c>
      <c r="M360">
        <v>100</v>
      </c>
      <c r="N360">
        <v>40.5075</v>
      </c>
      <c r="O360">
        <v>15.3934</v>
      </c>
      <c r="P360">
        <v>55.900700000000001</v>
      </c>
      <c r="Q360">
        <v>55.851199999999999</v>
      </c>
      <c r="R360">
        <v>55.446800000000003</v>
      </c>
      <c r="S360">
        <f t="shared" ref="S360" si="312">R360-N360</f>
        <v>14.939300000000003</v>
      </c>
      <c r="T360">
        <f t="shared" ref="T360" si="313">((O360-S360)/O360)*100</f>
        <v>2.9499655696597036</v>
      </c>
      <c r="U360">
        <f t="shared" si="277"/>
        <v>0.54998622786388152</v>
      </c>
      <c r="V360">
        <f>L360*(U360/100)</f>
        <v>8.9536959216864366E-3</v>
      </c>
    </row>
    <row r="361" spans="1:30">
      <c r="A361">
        <v>360</v>
      </c>
      <c r="B361" t="s">
        <v>32</v>
      </c>
      <c r="C361">
        <v>3</v>
      </c>
      <c r="D361" t="s">
        <v>28</v>
      </c>
      <c r="E361">
        <v>5</v>
      </c>
      <c r="F361" s="5" t="s">
        <v>27</v>
      </c>
      <c r="G361">
        <v>1.2750999999999999</v>
      </c>
      <c r="H361">
        <v>90.796000000000006</v>
      </c>
      <c r="I361">
        <f>H361-G361</f>
        <v>89.520900000000012</v>
      </c>
      <c r="J361">
        <v>5</v>
      </c>
      <c r="K361">
        <f t="shared" si="274"/>
        <v>57.157143750000003</v>
      </c>
      <c r="L361">
        <f t="shared" si="271"/>
        <v>1.5662241694853762</v>
      </c>
      <c r="M361" s="4"/>
      <c r="N361" s="4"/>
      <c r="O361" s="4"/>
      <c r="P361" s="4"/>
      <c r="Q361" s="4"/>
      <c r="R361" s="4"/>
      <c r="W361">
        <v>0</v>
      </c>
      <c r="X361">
        <v>0.37480000000000002</v>
      </c>
      <c r="Y361">
        <v>8.9146000000000001</v>
      </c>
      <c r="Z361">
        <v>24.998899999999999</v>
      </c>
      <c r="AA361">
        <v>41.316699999999997</v>
      </c>
      <c r="AB361">
        <v>7.7065999999999999</v>
      </c>
      <c r="AC361">
        <v>1.7751999999999999</v>
      </c>
      <c r="AD361">
        <v>4.4294000000000002</v>
      </c>
    </row>
    <row r="362" spans="1:30">
      <c r="A362">
        <v>361</v>
      </c>
      <c r="B362" t="s">
        <v>32</v>
      </c>
      <c r="C362">
        <v>3</v>
      </c>
      <c r="D362" t="s">
        <v>29</v>
      </c>
      <c r="E362">
        <v>5</v>
      </c>
      <c r="F362" s="5" t="s">
        <v>24</v>
      </c>
      <c r="G362">
        <v>1.2706999999999999</v>
      </c>
      <c r="H362">
        <v>71.493899999999996</v>
      </c>
      <c r="I362">
        <f>H362-G362</f>
        <v>70.223199999999991</v>
      </c>
      <c r="J362">
        <v>5</v>
      </c>
      <c r="K362">
        <f t="shared" si="274"/>
        <v>57.157143750000003</v>
      </c>
      <c r="L362">
        <f t="shared" si="271"/>
        <v>1.2285988310953693</v>
      </c>
      <c r="M362">
        <v>17</v>
      </c>
      <c r="N362">
        <v>39.3322</v>
      </c>
      <c r="O362">
        <v>15.4589</v>
      </c>
      <c r="P362">
        <v>54.791200000000003</v>
      </c>
      <c r="Q362">
        <v>54.7333</v>
      </c>
      <c r="R362">
        <v>54.2697</v>
      </c>
      <c r="S362">
        <f t="shared" ref="S362" si="314">R362-N362</f>
        <v>14.9375</v>
      </c>
      <c r="T362">
        <f t="shared" ref="T362" si="315">((O362-S362)/O362)*100</f>
        <v>3.3728143658345671</v>
      </c>
      <c r="U362">
        <f t="shared" si="277"/>
        <v>0.71912574633382687</v>
      </c>
      <c r="V362">
        <f>L362*(U362/100)</f>
        <v>8.8351705135632473E-3</v>
      </c>
    </row>
    <row r="363" spans="1:30">
      <c r="A363">
        <v>362</v>
      </c>
      <c r="B363" t="s">
        <v>32</v>
      </c>
      <c r="C363">
        <v>3</v>
      </c>
      <c r="D363" s="5" t="s">
        <v>29</v>
      </c>
      <c r="E363">
        <v>5</v>
      </c>
      <c r="F363" s="5" t="s">
        <v>25</v>
      </c>
      <c r="G363">
        <v>1.2741</v>
      </c>
      <c r="H363">
        <v>71.9191</v>
      </c>
      <c r="I363">
        <f>H363-G363</f>
        <v>70.644999999999996</v>
      </c>
      <c r="J363">
        <v>5</v>
      </c>
      <c r="K363">
        <f t="shared" si="274"/>
        <v>57.157143750000003</v>
      </c>
      <c r="L363">
        <f t="shared" si="271"/>
        <v>1.2359784860663194</v>
      </c>
      <c r="M363" s="4"/>
      <c r="N363" s="4"/>
      <c r="O363" s="4"/>
      <c r="P363" s="4"/>
      <c r="Q363" s="4"/>
      <c r="R363" s="4"/>
      <c r="W363">
        <v>0</v>
      </c>
      <c r="X363">
        <v>2.6019999999999999</v>
      </c>
      <c r="Y363">
        <v>23.210999999999999</v>
      </c>
      <c r="Z363">
        <v>18.681699999999999</v>
      </c>
      <c r="AA363">
        <v>14.258699999999999</v>
      </c>
      <c r="AB363">
        <v>4.2908999999999997</v>
      </c>
      <c r="AC363">
        <v>1.5680000000000001</v>
      </c>
      <c r="AD363">
        <v>4.2915000000000001</v>
      </c>
    </row>
    <row r="364" spans="1:30">
      <c r="A364">
        <v>363</v>
      </c>
      <c r="B364" t="s">
        <v>32</v>
      </c>
      <c r="C364">
        <v>3</v>
      </c>
      <c r="D364" t="s">
        <v>29</v>
      </c>
      <c r="E364">
        <v>5</v>
      </c>
      <c r="F364" s="5" t="s">
        <v>26</v>
      </c>
      <c r="G364">
        <v>1.2747999999999999</v>
      </c>
      <c r="H364">
        <v>63.451900000000002</v>
      </c>
      <c r="I364">
        <f>H364-G364</f>
        <v>62.177100000000003</v>
      </c>
      <c r="J364">
        <v>5</v>
      </c>
      <c r="K364">
        <f t="shared" si="274"/>
        <v>57.157143750000003</v>
      </c>
      <c r="L364">
        <f t="shared" si="271"/>
        <v>1.0878272761836529</v>
      </c>
      <c r="M364">
        <v>155</v>
      </c>
      <c r="N364">
        <v>42.411900000000003</v>
      </c>
      <c r="O364">
        <v>15.379799999999999</v>
      </c>
      <c r="P364">
        <v>57.791699999999999</v>
      </c>
      <c r="Q364">
        <v>57.717500000000001</v>
      </c>
      <c r="R364">
        <v>57.155000000000001</v>
      </c>
      <c r="S364">
        <f t="shared" ref="S364" si="316">R364-N364</f>
        <v>14.743099999999998</v>
      </c>
      <c r="T364">
        <f t="shared" ref="T364" si="317">((O364-S364)/O364)*100</f>
        <v>4.1398457717265575</v>
      </c>
      <c r="U364">
        <f t="shared" si="277"/>
        <v>1.0259383086906233</v>
      </c>
      <c r="V364">
        <f>L364*(U364/100)</f>
        <v>1.1160436758753844E-2</v>
      </c>
    </row>
    <row r="365" spans="1:30">
      <c r="A365">
        <v>364</v>
      </c>
      <c r="B365" t="s">
        <v>32</v>
      </c>
      <c r="C365">
        <v>3</v>
      </c>
      <c r="D365" s="5" t="s">
        <v>29</v>
      </c>
      <c r="E365">
        <v>5</v>
      </c>
      <c r="F365" s="5" t="s">
        <v>27</v>
      </c>
      <c r="G365">
        <v>1.2747999999999999</v>
      </c>
      <c r="H365">
        <v>62.536299999999997</v>
      </c>
      <c r="I365">
        <f>H365-G365</f>
        <v>61.261499999999998</v>
      </c>
      <c r="J365">
        <v>5</v>
      </c>
      <c r="K365">
        <f t="shared" si="274"/>
        <v>57.157143750000003</v>
      </c>
      <c r="L365">
        <f t="shared" si="271"/>
        <v>1.0718082811826999</v>
      </c>
      <c r="M365" s="4"/>
      <c r="N365" s="4"/>
      <c r="O365" s="4"/>
      <c r="P365" s="4"/>
      <c r="Q365" s="4"/>
      <c r="R365" s="4"/>
      <c r="W365">
        <v>0</v>
      </c>
      <c r="X365" s="7">
        <v>3.5198</v>
      </c>
      <c r="Y365">
        <v>15.54</v>
      </c>
      <c r="Z365">
        <v>12.4702</v>
      </c>
      <c r="AA365">
        <v>12.338900000000001</v>
      </c>
      <c r="AB365">
        <v>4.8865999999999996</v>
      </c>
      <c r="AC365">
        <v>1.8624000000000001</v>
      </c>
      <c r="AD365">
        <v>6.0766</v>
      </c>
    </row>
    <row r="366" spans="1:30">
      <c r="A366">
        <v>365</v>
      </c>
      <c r="B366" t="s">
        <v>32</v>
      </c>
      <c r="C366">
        <v>3</v>
      </c>
      <c r="D366" t="s">
        <v>30</v>
      </c>
      <c r="E366">
        <v>5</v>
      </c>
      <c r="F366" s="5" t="s">
        <v>24</v>
      </c>
      <c r="G366">
        <v>1.2774000000000001</v>
      </c>
      <c r="H366">
        <v>78.955200000000005</v>
      </c>
      <c r="I366">
        <f>H366-G366</f>
        <v>77.677800000000005</v>
      </c>
      <c r="J366">
        <v>5</v>
      </c>
      <c r="K366">
        <f t="shared" si="274"/>
        <v>57.157143750000003</v>
      </c>
      <c r="L366">
        <f t="shared" si="271"/>
        <v>1.3590217233344519</v>
      </c>
      <c r="M366">
        <v>135</v>
      </c>
      <c r="N366">
        <v>37.124499999999998</v>
      </c>
      <c r="O366">
        <v>15.6913</v>
      </c>
      <c r="P366">
        <v>52.8157</v>
      </c>
      <c r="Q366">
        <v>52.7515</v>
      </c>
      <c r="R366">
        <v>52.278500000000001</v>
      </c>
      <c r="S366">
        <f t="shared" ref="S366" si="318">R366-N366</f>
        <v>15.154000000000003</v>
      </c>
      <c r="T366">
        <f t="shared" ref="T366" si="319">((O366-S366)/O366)*100</f>
        <v>3.424190474976557</v>
      </c>
      <c r="U366">
        <f t="shared" si="277"/>
        <v>0.7396761899906229</v>
      </c>
      <c r="V366">
        <f>L366*(U366/100)</f>
        <v>1.0052360104305179E-2</v>
      </c>
    </row>
    <row r="367" spans="1:30">
      <c r="A367">
        <v>366</v>
      </c>
      <c r="B367" t="s">
        <v>32</v>
      </c>
      <c r="C367">
        <v>3</v>
      </c>
      <c r="D367" s="5" t="s">
        <v>30</v>
      </c>
      <c r="E367">
        <v>5</v>
      </c>
      <c r="F367" s="5" t="s">
        <v>25</v>
      </c>
      <c r="G367">
        <v>1.2705</v>
      </c>
      <c r="H367">
        <v>64.745699999999999</v>
      </c>
      <c r="I367">
        <f>H367-G367</f>
        <v>63.475200000000001</v>
      </c>
      <c r="J367">
        <v>5</v>
      </c>
      <c r="K367">
        <f t="shared" si="274"/>
        <v>57.157143750000003</v>
      </c>
      <c r="L367">
        <f t="shared" si="271"/>
        <v>1.1105383480608231</v>
      </c>
      <c r="M367" s="4"/>
      <c r="N367" s="4"/>
      <c r="O367" s="4"/>
      <c r="P367" s="4"/>
      <c r="Q367" s="4"/>
      <c r="R367" s="4"/>
      <c r="W367">
        <v>0</v>
      </c>
      <c r="X367">
        <v>2.7804000000000002</v>
      </c>
      <c r="Y367">
        <v>14.998900000000001</v>
      </c>
      <c r="Z367">
        <v>16.618600000000001</v>
      </c>
      <c r="AA367">
        <v>15.2506</v>
      </c>
      <c r="AB367">
        <v>4.3445999999999998</v>
      </c>
      <c r="AC367">
        <v>1.4938</v>
      </c>
      <c r="AD367">
        <v>4.6269</v>
      </c>
    </row>
    <row r="368" spans="1:30">
      <c r="A368">
        <v>367</v>
      </c>
      <c r="B368" t="s">
        <v>32</v>
      </c>
      <c r="C368">
        <v>3</v>
      </c>
      <c r="D368" t="s">
        <v>30</v>
      </c>
      <c r="E368">
        <v>5</v>
      </c>
      <c r="F368" s="5" t="s">
        <v>26</v>
      </c>
      <c r="G368">
        <v>1.2775000000000001</v>
      </c>
      <c r="H368">
        <v>93.138400000000004</v>
      </c>
      <c r="I368">
        <f>H368-G368</f>
        <v>91.860900000000001</v>
      </c>
      <c r="J368">
        <v>5</v>
      </c>
      <c r="K368">
        <f t="shared" si="274"/>
        <v>57.157143750000003</v>
      </c>
      <c r="L368">
        <f t="shared" si="271"/>
        <v>1.6071639339045873</v>
      </c>
      <c r="M368">
        <v>308</v>
      </c>
      <c r="N368">
        <v>39.236400000000003</v>
      </c>
      <c r="O368">
        <v>15.2605</v>
      </c>
      <c r="P368">
        <v>54.496600000000001</v>
      </c>
      <c r="Q368">
        <v>54.446100000000001</v>
      </c>
      <c r="R368">
        <v>54.031300000000002</v>
      </c>
      <c r="S368">
        <f t="shared" ref="S368" si="320">R368-N368</f>
        <v>14.794899999999998</v>
      </c>
      <c r="T368">
        <f t="shared" ref="T368" si="321">((O368-S368)/O368)*100</f>
        <v>3.0510140558959535</v>
      </c>
      <c r="U368">
        <f t="shared" si="277"/>
        <v>0.59040562235838145</v>
      </c>
      <c r="V368">
        <f>L368*(U368/100)</f>
        <v>9.4887862262888253E-3</v>
      </c>
    </row>
    <row r="369" spans="1:30">
      <c r="A369">
        <v>368</v>
      </c>
      <c r="B369" t="s">
        <v>32</v>
      </c>
      <c r="C369">
        <v>3</v>
      </c>
      <c r="D369" s="5" t="s">
        <v>30</v>
      </c>
      <c r="E369">
        <v>5</v>
      </c>
      <c r="F369" s="5" t="s">
        <v>27</v>
      </c>
      <c r="G369">
        <v>1.2727999999999999</v>
      </c>
      <c r="H369">
        <v>80.7791</v>
      </c>
      <c r="I369">
        <f>H369-G369</f>
        <v>79.506299999999996</v>
      </c>
      <c r="J369">
        <v>5</v>
      </c>
      <c r="K369">
        <f t="shared" si="274"/>
        <v>57.157143750000003</v>
      </c>
      <c r="L369">
        <f t="shared" si="271"/>
        <v>1.3910124751466433</v>
      </c>
      <c r="M369" s="4"/>
      <c r="N369" s="4"/>
      <c r="O369" s="4"/>
      <c r="P369" s="4"/>
      <c r="Q369" s="4"/>
      <c r="R369" s="4"/>
      <c r="W369">
        <v>0</v>
      </c>
      <c r="X369">
        <v>5.4166999999999996</v>
      </c>
      <c r="Y369">
        <v>23.540099999999999</v>
      </c>
      <c r="Z369">
        <v>20.382999999999999</v>
      </c>
      <c r="AA369">
        <v>15.764699999999999</v>
      </c>
      <c r="AB369">
        <v>3.8950999999999998</v>
      </c>
      <c r="AC369">
        <v>1.6581999999999999</v>
      </c>
      <c r="AD369">
        <v>4.1398999999999999</v>
      </c>
    </row>
    <row r="370" spans="1:30">
      <c r="A370">
        <v>369</v>
      </c>
      <c r="B370" t="s">
        <v>32</v>
      </c>
      <c r="C370">
        <v>3</v>
      </c>
      <c r="D370" t="s">
        <v>23</v>
      </c>
      <c r="E370">
        <v>6</v>
      </c>
      <c r="F370" s="5" t="s">
        <v>24</v>
      </c>
      <c r="G370">
        <v>1.2649999999999999</v>
      </c>
      <c r="H370">
        <v>95.682199999999995</v>
      </c>
      <c r="I370">
        <f>H370-G370</f>
        <v>94.417199999999994</v>
      </c>
      <c r="J370">
        <v>5</v>
      </c>
      <c r="K370">
        <f t="shared" si="274"/>
        <v>57.157143750000003</v>
      </c>
      <c r="L370">
        <f t="shared" si="271"/>
        <v>1.6518880021887026</v>
      </c>
      <c r="M370">
        <v>302</v>
      </c>
      <c r="N370">
        <v>38.888199999999998</v>
      </c>
      <c r="O370">
        <v>15.632899999999999</v>
      </c>
      <c r="P370">
        <v>54.520600000000002</v>
      </c>
      <c r="Q370">
        <v>54.472999999999999</v>
      </c>
      <c r="R370">
        <v>54.059399999999997</v>
      </c>
      <c r="S370">
        <f t="shared" ref="S370" si="322">R370-N370</f>
        <v>15.171199999999999</v>
      </c>
      <c r="T370">
        <f t="shared" ref="T370" si="323">((O370-S370)/O370)*100</f>
        <v>2.953386767650279</v>
      </c>
      <c r="U370">
        <f t="shared" si="277"/>
        <v>0.55135470706011158</v>
      </c>
      <c r="V370">
        <f>L370*(U370/100)</f>
        <v>9.1077622554286506E-3</v>
      </c>
    </row>
    <row r="371" spans="1:30">
      <c r="A371">
        <v>370</v>
      </c>
      <c r="B371" t="s">
        <v>32</v>
      </c>
      <c r="C371">
        <v>3</v>
      </c>
      <c r="D371" t="s">
        <v>23</v>
      </c>
      <c r="E371">
        <v>6</v>
      </c>
      <c r="F371" s="5" t="s">
        <v>25</v>
      </c>
      <c r="G371">
        <v>1.2810999999999999</v>
      </c>
      <c r="H371">
        <v>88.120500000000007</v>
      </c>
      <c r="I371">
        <f>H371-G371</f>
        <v>86.839400000000012</v>
      </c>
      <c r="J371">
        <v>5</v>
      </c>
      <c r="K371">
        <f t="shared" si="274"/>
        <v>57.157143750000003</v>
      </c>
      <c r="L371">
        <f t="shared" si="271"/>
        <v>1.5193096488485747</v>
      </c>
      <c r="M371" s="4"/>
      <c r="N371" s="4"/>
      <c r="O371" s="4"/>
      <c r="P371" s="4"/>
      <c r="Q371" s="4"/>
      <c r="R371" s="4"/>
      <c r="W371">
        <v>0</v>
      </c>
      <c r="X371">
        <v>1.2399</v>
      </c>
      <c r="Y371">
        <v>10.953799999999999</v>
      </c>
      <c r="Z371">
        <v>26.433199999999999</v>
      </c>
      <c r="AA371">
        <v>25.719200000000001</v>
      </c>
      <c r="AB371">
        <v>5.8907999999999996</v>
      </c>
      <c r="AC371">
        <v>1.4314</v>
      </c>
      <c r="AD371">
        <v>3.6198000000000001</v>
      </c>
    </row>
    <row r="372" spans="1:30">
      <c r="A372">
        <v>371</v>
      </c>
      <c r="B372" t="s">
        <v>32</v>
      </c>
      <c r="C372">
        <v>3</v>
      </c>
      <c r="D372" t="s">
        <v>23</v>
      </c>
      <c r="E372">
        <v>6</v>
      </c>
      <c r="F372" s="5" t="s">
        <v>26</v>
      </c>
      <c r="G372">
        <v>1.2688999999999999</v>
      </c>
      <c r="H372">
        <v>91.399799999999999</v>
      </c>
      <c r="I372">
        <f>H372-G372</f>
        <v>90.130899999999997</v>
      </c>
      <c r="J372">
        <v>5</v>
      </c>
      <c r="K372">
        <f t="shared" si="274"/>
        <v>57.157143750000003</v>
      </c>
      <c r="L372">
        <f t="shared" si="271"/>
        <v>1.576896501235683</v>
      </c>
      <c r="M372">
        <v>150</v>
      </c>
      <c r="N372">
        <v>38.827800000000003</v>
      </c>
      <c r="O372">
        <v>15.360900000000001</v>
      </c>
      <c r="P372">
        <v>54.189</v>
      </c>
      <c r="Q372">
        <v>54.148000000000003</v>
      </c>
      <c r="R372">
        <v>53.802500000000002</v>
      </c>
      <c r="S372">
        <f t="shared" ref="S372" si="324">R372-N372</f>
        <v>14.974699999999999</v>
      </c>
      <c r="T372">
        <f t="shared" ref="T372" si="325">((O372-S372)/O372)*100</f>
        <v>2.5141756016900203</v>
      </c>
      <c r="U372">
        <f t="shared" si="277"/>
        <v>0.37567024067600807</v>
      </c>
      <c r="V372">
        <f>L372*(U372/100)</f>
        <v>5.923930881403641E-3</v>
      </c>
    </row>
    <row r="373" spans="1:30">
      <c r="A373">
        <v>372</v>
      </c>
      <c r="B373" t="s">
        <v>32</v>
      </c>
      <c r="C373">
        <v>3</v>
      </c>
      <c r="D373" t="s">
        <v>23</v>
      </c>
      <c r="E373">
        <v>6</v>
      </c>
      <c r="F373" s="5" t="s">
        <v>27</v>
      </c>
      <c r="G373">
        <v>1.2735000000000001</v>
      </c>
      <c r="H373">
        <v>87.015500000000003</v>
      </c>
      <c r="I373">
        <f>H373-G373</f>
        <v>85.742000000000004</v>
      </c>
      <c r="J373">
        <v>5</v>
      </c>
      <c r="K373">
        <f t="shared" si="274"/>
        <v>57.157143750000003</v>
      </c>
      <c r="L373">
        <f t="shared" si="271"/>
        <v>1.5001099490735137</v>
      </c>
      <c r="M373" s="4"/>
      <c r="N373" s="4"/>
      <c r="O373" s="4"/>
      <c r="P373" s="4"/>
      <c r="Q373" s="4"/>
      <c r="R373" s="4"/>
      <c r="W373">
        <v>0</v>
      </c>
      <c r="X373">
        <v>0.70430000000000004</v>
      </c>
      <c r="Y373">
        <v>11.0822</v>
      </c>
      <c r="Z373">
        <v>23.794899999999998</v>
      </c>
      <c r="AA373">
        <v>32.184100000000001</v>
      </c>
      <c r="AB373">
        <v>7.6909000000000001</v>
      </c>
      <c r="AC373">
        <v>2.5221</v>
      </c>
      <c r="AD373">
        <v>5.6547000000000001</v>
      </c>
    </row>
    <row r="374" spans="1:30">
      <c r="A374">
        <v>373</v>
      </c>
      <c r="B374" t="s">
        <v>32</v>
      </c>
      <c r="C374">
        <v>3</v>
      </c>
      <c r="D374" t="s">
        <v>28</v>
      </c>
      <c r="E374">
        <v>6</v>
      </c>
      <c r="F374" s="5" t="s">
        <v>24</v>
      </c>
      <c r="G374">
        <v>1.2669999999999999</v>
      </c>
      <c r="H374">
        <v>51.836599999999997</v>
      </c>
      <c r="I374">
        <f>H374-G374</f>
        <v>50.569599999999994</v>
      </c>
      <c r="J374">
        <v>3</v>
      </c>
      <c r="K374">
        <f t="shared" si="274"/>
        <v>34.294286249999999</v>
      </c>
      <c r="L374">
        <f t="shared" si="271"/>
        <v>1.4745779991266037</v>
      </c>
      <c r="M374">
        <v>13</v>
      </c>
      <c r="N374">
        <v>41.480800000000002</v>
      </c>
      <c r="O374">
        <v>15.2263</v>
      </c>
      <c r="P374">
        <v>56.605899999999998</v>
      </c>
      <c r="Q374">
        <v>56.5501</v>
      </c>
      <c r="R374">
        <v>56.102899999999998</v>
      </c>
      <c r="S374">
        <f t="shared" ref="S374" si="326">R374-N374</f>
        <v>14.622099999999996</v>
      </c>
      <c r="T374">
        <f t="shared" ref="T374" si="327">((O374-S374)/O374)*100</f>
        <v>3.96813408378926</v>
      </c>
      <c r="U374">
        <f t="shared" si="277"/>
        <v>0.95725363351570414</v>
      </c>
      <c r="V374">
        <f>L374*(U374/100)</f>
        <v>1.4115451475662582E-2</v>
      </c>
    </row>
    <row r="375" spans="1:30">
      <c r="A375">
        <v>374</v>
      </c>
      <c r="B375" t="s">
        <v>32</v>
      </c>
      <c r="C375">
        <v>3</v>
      </c>
      <c r="D375" t="s">
        <v>28</v>
      </c>
      <c r="E375">
        <v>6</v>
      </c>
      <c r="F375" s="5" t="s">
        <v>25</v>
      </c>
      <c r="G375">
        <v>1.2728999999999999</v>
      </c>
      <c r="H375">
        <v>41.587400000000002</v>
      </c>
      <c r="I375">
        <f>H375-G375</f>
        <v>40.314500000000002</v>
      </c>
      <c r="J375" s="9">
        <v>3</v>
      </c>
      <c r="K375">
        <f t="shared" si="274"/>
        <v>34.294286249999999</v>
      </c>
      <c r="L375">
        <f t="shared" si="271"/>
        <v>1.1755456785457958</v>
      </c>
      <c r="M375" s="4"/>
      <c r="N375" s="4"/>
      <c r="O375" s="4"/>
      <c r="P375" s="4"/>
      <c r="Q375" s="4"/>
      <c r="R375" s="4"/>
      <c r="W375">
        <v>0</v>
      </c>
      <c r="X375">
        <v>0.79849999999999999</v>
      </c>
      <c r="Y375">
        <v>5.9013999999999998</v>
      </c>
      <c r="Z375">
        <v>10.9223</v>
      </c>
      <c r="AA375">
        <v>15.1548</v>
      </c>
      <c r="AB375">
        <v>3.1374</v>
      </c>
      <c r="AC375">
        <v>0.81599999999999995</v>
      </c>
      <c r="AD375">
        <v>2.2715000000000001</v>
      </c>
    </row>
    <row r="376" spans="1:30">
      <c r="A376">
        <v>375</v>
      </c>
      <c r="B376" t="s">
        <v>32</v>
      </c>
      <c r="C376">
        <v>3</v>
      </c>
      <c r="D376" t="s">
        <v>28</v>
      </c>
      <c r="E376">
        <v>6</v>
      </c>
      <c r="F376" s="5" t="s">
        <v>26</v>
      </c>
      <c r="G376">
        <v>1.2736000000000001</v>
      </c>
      <c r="H376">
        <v>44.984400000000001</v>
      </c>
      <c r="I376">
        <f>H376-G376</f>
        <v>43.710799999999999</v>
      </c>
      <c r="J376">
        <v>3</v>
      </c>
      <c r="K376">
        <f t="shared" si="274"/>
        <v>34.294286249999999</v>
      </c>
      <c r="L376">
        <f t="shared" si="271"/>
        <v>1.2745796685009008</v>
      </c>
      <c r="M376">
        <v>209</v>
      </c>
      <c r="N376">
        <v>40.550199999999997</v>
      </c>
      <c r="O376">
        <v>15.217599999999999</v>
      </c>
      <c r="P376">
        <v>55.768099999999997</v>
      </c>
      <c r="Q376">
        <v>55.718899999999998</v>
      </c>
      <c r="R376">
        <v>55.322200000000002</v>
      </c>
      <c r="S376">
        <f t="shared" ref="S376" si="328">R376-N376</f>
        <v>14.772000000000006</v>
      </c>
      <c r="T376">
        <f t="shared" ref="T376" si="329">((O376-S376)/O376)*100</f>
        <v>2.9281884134160023</v>
      </c>
      <c r="U376">
        <f t="shared" si="277"/>
        <v>0.54127536536640097</v>
      </c>
      <c r="V376">
        <f>L376*(U376/100)</f>
        <v>6.8989857575641128E-3</v>
      </c>
    </row>
    <row r="377" spans="1:30">
      <c r="A377">
        <v>376</v>
      </c>
      <c r="B377" t="s">
        <v>32</v>
      </c>
      <c r="C377">
        <v>3</v>
      </c>
      <c r="D377" t="s">
        <v>28</v>
      </c>
      <c r="E377">
        <v>6</v>
      </c>
      <c r="F377" s="5" t="s">
        <v>27</v>
      </c>
      <c r="G377">
        <v>1.2701</v>
      </c>
      <c r="H377">
        <v>37.9878</v>
      </c>
      <c r="I377">
        <f>H377-G377</f>
        <v>36.717700000000001</v>
      </c>
      <c r="J377">
        <v>3</v>
      </c>
      <c r="K377">
        <f t="shared" si="274"/>
        <v>34.294286249999999</v>
      </c>
      <c r="L377">
        <f t="shared" si="271"/>
        <v>1.0706652336291151</v>
      </c>
      <c r="M377" s="4"/>
      <c r="N377" s="4"/>
      <c r="O377" s="4"/>
      <c r="P377" s="4"/>
      <c r="Q377" s="4"/>
      <c r="R377" s="4"/>
      <c r="W377">
        <v>0</v>
      </c>
      <c r="X377">
        <v>0.35589999999999999</v>
      </c>
      <c r="Y377">
        <v>5.0137999999999998</v>
      </c>
      <c r="Z377">
        <v>10.395200000000001</v>
      </c>
      <c r="AA377">
        <v>15.136100000000001</v>
      </c>
      <c r="AB377">
        <v>3.0261999999999998</v>
      </c>
      <c r="AC377">
        <v>0.72250000000000003</v>
      </c>
      <c r="AD377">
        <v>1.6632</v>
      </c>
    </row>
    <row r="378" spans="1:30">
      <c r="A378">
        <v>377</v>
      </c>
      <c r="B378" t="s">
        <v>32</v>
      </c>
      <c r="C378">
        <v>3</v>
      </c>
      <c r="D378" t="s">
        <v>29</v>
      </c>
      <c r="E378">
        <v>6</v>
      </c>
      <c r="F378" s="5" t="s">
        <v>24</v>
      </c>
      <c r="G378">
        <v>1.2650999999999999</v>
      </c>
      <c r="H378">
        <v>72.929199999999994</v>
      </c>
      <c r="I378">
        <f>H378-G378</f>
        <v>71.664099999999991</v>
      </c>
      <c r="J378">
        <v>5</v>
      </c>
      <c r="K378">
        <f t="shared" si="274"/>
        <v>57.157143750000003</v>
      </c>
      <c r="L378">
        <f t="shared" si="271"/>
        <v>1.2538082783396605</v>
      </c>
      <c r="M378">
        <v>101</v>
      </c>
      <c r="N378">
        <v>38.368099999999998</v>
      </c>
      <c r="O378">
        <v>15.491300000000001</v>
      </c>
      <c r="P378">
        <v>53.8566</v>
      </c>
      <c r="Q378">
        <v>53.802199999999999</v>
      </c>
      <c r="R378">
        <v>53.393599999999999</v>
      </c>
      <c r="S378">
        <f t="shared" ref="S378" si="330">R378-N378</f>
        <v>15.025500000000001</v>
      </c>
      <c r="T378">
        <f t="shared" ref="T378" si="331">((O378-S378)/O378)*100</f>
        <v>3.0068490055708672</v>
      </c>
      <c r="U378">
        <f t="shared" si="277"/>
        <v>0.57273960222834697</v>
      </c>
      <c r="V378">
        <f>L378*(U378/100)</f>
        <v>7.1810565460686563E-3</v>
      </c>
    </row>
    <row r="379" spans="1:30">
      <c r="A379">
        <v>378</v>
      </c>
      <c r="B379" t="s">
        <v>32</v>
      </c>
      <c r="C379">
        <v>3</v>
      </c>
      <c r="D379" s="5" t="s">
        <v>29</v>
      </c>
      <c r="E379">
        <v>6</v>
      </c>
      <c r="F379" s="5" t="s">
        <v>25</v>
      </c>
      <c r="G379">
        <v>1.2878000000000001</v>
      </c>
      <c r="H379">
        <v>72.202399999999997</v>
      </c>
      <c r="I379">
        <f>H379-G379</f>
        <v>70.914599999999993</v>
      </c>
      <c r="J379">
        <v>5</v>
      </c>
      <c r="K379">
        <f t="shared" si="274"/>
        <v>57.157143750000003</v>
      </c>
      <c r="L379">
        <f t="shared" si="271"/>
        <v>1.2406953067874389</v>
      </c>
      <c r="M379" s="4"/>
      <c r="N379" s="4"/>
      <c r="O379" s="4"/>
      <c r="P379" s="4"/>
      <c r="Q379" s="4"/>
      <c r="R379" s="4"/>
      <c r="W379">
        <v>0</v>
      </c>
      <c r="X379">
        <v>2.5348999999999999</v>
      </c>
      <c r="Y379">
        <v>10.380599999999999</v>
      </c>
      <c r="Z379">
        <v>16.871700000000001</v>
      </c>
      <c r="AA379">
        <v>21.907599999999999</v>
      </c>
      <c r="AB379">
        <v>7.6981999999999999</v>
      </c>
      <c r="AC379">
        <v>2.4445999999999999</v>
      </c>
      <c r="AD379">
        <v>5.3026999999999997</v>
      </c>
    </row>
    <row r="380" spans="1:30">
      <c r="A380">
        <v>379</v>
      </c>
      <c r="B380" t="s">
        <v>32</v>
      </c>
      <c r="C380">
        <v>3</v>
      </c>
      <c r="D380" t="s">
        <v>29</v>
      </c>
      <c r="E380">
        <v>6</v>
      </c>
      <c r="F380" s="5" t="s">
        <v>26</v>
      </c>
      <c r="G380">
        <v>1.2862</v>
      </c>
      <c r="H380">
        <v>87.572100000000006</v>
      </c>
      <c r="I380">
        <f>H380-G380</f>
        <v>86.285900000000012</v>
      </c>
      <c r="J380">
        <v>5</v>
      </c>
      <c r="K380">
        <f t="shared" si="274"/>
        <v>57.157143750000003</v>
      </c>
      <c r="L380">
        <f t="shared" si="271"/>
        <v>1.5096258199571073</v>
      </c>
      <c r="M380">
        <v>102</v>
      </c>
      <c r="N380">
        <v>38.782800000000002</v>
      </c>
      <c r="O380">
        <v>15.266400000000001</v>
      </c>
      <c r="P380">
        <v>54.048999999999999</v>
      </c>
      <c r="Q380">
        <v>54.006399999999999</v>
      </c>
      <c r="R380">
        <v>53.630600000000001</v>
      </c>
      <c r="S380">
        <f t="shared" ref="S380" si="332">R380-N380</f>
        <v>14.847799999999999</v>
      </c>
      <c r="T380">
        <f t="shared" ref="T380" si="333">((O380-S380)/O380)*100</f>
        <v>2.7419692920400447</v>
      </c>
      <c r="U380">
        <f t="shared" si="277"/>
        <v>0.46678771681601783</v>
      </c>
      <c r="V380">
        <f>L380*(U380/100)</f>
        <v>7.0467478974428699E-3</v>
      </c>
    </row>
    <row r="381" spans="1:30">
      <c r="A381">
        <v>380</v>
      </c>
      <c r="B381" t="s">
        <v>32</v>
      </c>
      <c r="C381">
        <v>3</v>
      </c>
      <c r="D381" s="5" t="s">
        <v>29</v>
      </c>
      <c r="E381">
        <v>6</v>
      </c>
      <c r="F381" s="5" t="s">
        <v>27</v>
      </c>
      <c r="G381">
        <v>1.2648999999999999</v>
      </c>
      <c r="H381">
        <v>70.661600000000007</v>
      </c>
      <c r="I381">
        <f>H381-G381</f>
        <v>69.39670000000001</v>
      </c>
      <c r="J381">
        <v>5</v>
      </c>
      <c r="K381">
        <f t="shared" si="274"/>
        <v>57.157143750000003</v>
      </c>
      <c r="L381">
        <f t="shared" si="271"/>
        <v>1.2141386963549943</v>
      </c>
      <c r="M381" s="4"/>
      <c r="N381" s="4"/>
      <c r="O381" s="4"/>
      <c r="P381" s="4"/>
      <c r="Q381" s="4"/>
      <c r="R381" s="4"/>
      <c r="W381">
        <v>0</v>
      </c>
      <c r="X381">
        <v>2.4007000000000001</v>
      </c>
      <c r="Y381">
        <v>17.372900000000001</v>
      </c>
      <c r="Z381">
        <v>20.540400000000002</v>
      </c>
      <c r="AA381">
        <v>18.3032</v>
      </c>
      <c r="AB381">
        <v>4.0312999999999999</v>
      </c>
      <c r="AC381">
        <v>1.3573999999999999</v>
      </c>
      <c r="AD381">
        <v>4.0854999999999997</v>
      </c>
    </row>
    <row r="382" spans="1:30">
      <c r="A382">
        <v>381</v>
      </c>
      <c r="B382" t="s">
        <v>32</v>
      </c>
      <c r="C382">
        <v>3</v>
      </c>
      <c r="D382" t="s">
        <v>30</v>
      </c>
      <c r="E382">
        <v>6</v>
      </c>
      <c r="F382" s="5" t="s">
        <v>24</v>
      </c>
      <c r="G382">
        <v>1.2743</v>
      </c>
      <c r="H382">
        <v>64.140600000000006</v>
      </c>
      <c r="I382">
        <f>H382-G382</f>
        <v>62.86630000000001</v>
      </c>
      <c r="J382">
        <v>5</v>
      </c>
      <c r="K382">
        <f t="shared" si="274"/>
        <v>57.157143750000003</v>
      </c>
      <c r="L382">
        <f t="shared" si="271"/>
        <v>1.0998852614989181</v>
      </c>
      <c r="M382">
        <v>304</v>
      </c>
      <c r="N382">
        <v>40.8917</v>
      </c>
      <c r="O382">
        <v>15.4244</v>
      </c>
      <c r="P382">
        <v>56.316200000000002</v>
      </c>
      <c r="Q382">
        <v>56.251600000000003</v>
      </c>
      <c r="R382">
        <v>55.741500000000002</v>
      </c>
      <c r="S382">
        <f t="shared" ref="S382" si="334">R382-N382</f>
        <v>14.849800000000002</v>
      </c>
      <c r="T382">
        <f t="shared" ref="T382" si="335">((O382-S382)/O382)*100</f>
        <v>3.7252664609320196</v>
      </c>
      <c r="U382">
        <f t="shared" si="277"/>
        <v>0.86010658437280785</v>
      </c>
      <c r="V382">
        <f>L382*(U382/100)</f>
        <v>9.4601855546982694E-3</v>
      </c>
    </row>
    <row r="383" spans="1:30">
      <c r="A383">
        <v>382</v>
      </c>
      <c r="B383" t="s">
        <v>32</v>
      </c>
      <c r="C383">
        <v>3</v>
      </c>
      <c r="D383" s="5" t="s">
        <v>30</v>
      </c>
      <c r="E383">
        <v>6</v>
      </c>
      <c r="F383" s="5" t="s">
        <v>25</v>
      </c>
      <c r="G383">
        <v>1.2656000000000001</v>
      </c>
      <c r="H383">
        <v>63.431800000000003</v>
      </c>
      <c r="I383">
        <f>H383-G383</f>
        <v>62.166200000000003</v>
      </c>
      <c r="J383">
        <v>5</v>
      </c>
      <c r="K383">
        <f t="shared" si="274"/>
        <v>57.157143750000003</v>
      </c>
      <c r="L383">
        <f t="shared" si="271"/>
        <v>1.0876365738622129</v>
      </c>
      <c r="M383" s="4"/>
      <c r="N383" s="4"/>
      <c r="O383" s="4"/>
      <c r="P383" s="4"/>
      <c r="Q383" s="4"/>
      <c r="R383" s="4"/>
      <c r="W383">
        <v>0</v>
      </c>
      <c r="X383">
        <v>1.7021999999999999</v>
      </c>
      <c r="Y383">
        <v>13.6913</v>
      </c>
      <c r="Z383">
        <v>15.8368</v>
      </c>
      <c r="AA383">
        <v>16.354800000000001</v>
      </c>
      <c r="AB383">
        <v>5.1374000000000004</v>
      </c>
      <c r="AC383">
        <v>1.958</v>
      </c>
      <c r="AD383">
        <v>6.2465999999999999</v>
      </c>
    </row>
    <row r="384" spans="1:30">
      <c r="A384">
        <v>383</v>
      </c>
      <c r="B384" t="s">
        <v>32</v>
      </c>
      <c r="C384">
        <v>3</v>
      </c>
      <c r="D384" t="s">
        <v>30</v>
      </c>
      <c r="E384">
        <v>6</v>
      </c>
      <c r="F384" s="5" t="s">
        <v>26</v>
      </c>
      <c r="G384">
        <v>1.2771999999999999</v>
      </c>
      <c r="H384">
        <v>63.279499999999999</v>
      </c>
      <c r="I384">
        <f>H384-G384</f>
        <v>62.002299999999998</v>
      </c>
      <c r="J384">
        <v>5</v>
      </c>
      <c r="K384">
        <f t="shared" si="274"/>
        <v>57.157143750000003</v>
      </c>
      <c r="L384">
        <f t="shared" si="271"/>
        <v>1.0847690407902861</v>
      </c>
      <c r="M384">
        <v>18</v>
      </c>
      <c r="N384">
        <v>40.369999999999997</v>
      </c>
      <c r="O384">
        <v>15.6714</v>
      </c>
      <c r="P384">
        <v>56.040100000000002</v>
      </c>
      <c r="Q384">
        <v>55.984299999999998</v>
      </c>
      <c r="R384">
        <v>55.547199999999997</v>
      </c>
      <c r="S384">
        <f t="shared" ref="S384" si="336">R384-N384</f>
        <v>15.177199999999999</v>
      </c>
      <c r="T384">
        <f t="shared" ref="T384" si="337">((O384-S384)/O384)*100</f>
        <v>3.1535153209030531</v>
      </c>
      <c r="U384">
        <f t="shared" si="277"/>
        <v>0.63140612836122123</v>
      </c>
      <c r="V384">
        <f>L384*(U384/100)</f>
        <v>6.8492982021151018E-3</v>
      </c>
    </row>
    <row r="385" spans="1:30">
      <c r="A385">
        <v>384</v>
      </c>
      <c r="B385" t="s">
        <v>32</v>
      </c>
      <c r="C385">
        <v>3</v>
      </c>
      <c r="D385" s="5" t="s">
        <v>30</v>
      </c>
      <c r="E385">
        <v>6</v>
      </c>
      <c r="F385" s="5" t="s">
        <v>27</v>
      </c>
      <c r="G385">
        <v>1.2732000000000001</v>
      </c>
      <c r="H385">
        <v>75.860699999999994</v>
      </c>
      <c r="I385">
        <f>H385-G385</f>
        <v>74.587499999999991</v>
      </c>
      <c r="J385">
        <v>5</v>
      </c>
      <c r="K385">
        <f t="shared" si="274"/>
        <v>57.157143750000003</v>
      </c>
      <c r="L385">
        <f t="shared" si="271"/>
        <v>1.3049549908623626</v>
      </c>
      <c r="M385" s="4"/>
      <c r="N385" s="4"/>
      <c r="O385" s="4"/>
      <c r="P385" s="4"/>
      <c r="Q385" s="4"/>
      <c r="R385" s="4"/>
      <c r="W385">
        <v>0</v>
      </c>
      <c r="X385">
        <v>4.7427999999999999</v>
      </c>
      <c r="Y385">
        <v>21.645399999999999</v>
      </c>
      <c r="Z385">
        <v>18.7516</v>
      </c>
      <c r="AA385">
        <v>13.719900000000001</v>
      </c>
      <c r="AB385">
        <v>3.3065000000000002</v>
      </c>
      <c r="AC385">
        <v>1.1908000000000001</v>
      </c>
      <c r="AD385">
        <v>4.0670999999999999</v>
      </c>
    </row>
    <row r="386" spans="1:30">
      <c r="A386">
        <v>385</v>
      </c>
      <c r="B386" s="5" t="s">
        <v>33</v>
      </c>
      <c r="C386">
        <v>3</v>
      </c>
      <c r="D386" t="s">
        <v>23</v>
      </c>
      <c r="E386">
        <v>4</v>
      </c>
      <c r="F386" t="s">
        <v>24</v>
      </c>
      <c r="G386">
        <v>1.2734000000000001</v>
      </c>
      <c r="H386">
        <v>49.1494</v>
      </c>
      <c r="I386">
        <f>H386-G386</f>
        <v>47.875999999999998</v>
      </c>
      <c r="J386">
        <v>5</v>
      </c>
      <c r="K386">
        <f t="shared" si="274"/>
        <v>57.157143750000003</v>
      </c>
      <c r="L386">
        <f t="shared" ref="L386:L449" si="338">I386/K386</f>
        <v>0.83762058176673659</v>
      </c>
      <c r="M386">
        <v>8</v>
      </c>
      <c r="N386">
        <v>39.238700000000001</v>
      </c>
      <c r="O386">
        <v>15.5495</v>
      </c>
      <c r="P386">
        <f>O386+N386</f>
        <v>54.788200000000003</v>
      </c>
      <c r="Q386">
        <v>54.756900000000002</v>
      </c>
      <c r="R386">
        <v>54.444600000000001</v>
      </c>
      <c r="S386">
        <f t="shared" ref="S386" si="339">R386-N386</f>
        <v>15.2059</v>
      </c>
      <c r="T386">
        <f t="shared" ref="T386" si="340">((O386-S386)/O386)*100</f>
        <v>2.209717354255766</v>
      </c>
      <c r="U386">
        <f t="shared" si="277"/>
        <v>0.25388694170230641</v>
      </c>
      <c r="V386">
        <f>L386*(U386/100)</f>
        <v>2.1266092781166345E-3</v>
      </c>
    </row>
    <row r="387" spans="1:30">
      <c r="A387">
        <v>386</v>
      </c>
      <c r="B387" s="5" t="s">
        <v>33</v>
      </c>
      <c r="C387">
        <v>3</v>
      </c>
      <c r="D387" t="s">
        <v>23</v>
      </c>
      <c r="E387">
        <v>4</v>
      </c>
      <c r="F387" t="s">
        <v>25</v>
      </c>
      <c r="G387">
        <v>1.278</v>
      </c>
      <c r="H387">
        <v>51.690800000000003</v>
      </c>
      <c r="I387">
        <f>H387-G387</f>
        <v>50.412800000000004</v>
      </c>
      <c r="J387">
        <v>5</v>
      </c>
      <c r="K387">
        <f t="shared" ref="K387:K450" si="341">0.25*3.15*((7.62/2)^2)*J387</f>
        <v>57.157143750000003</v>
      </c>
      <c r="L387">
        <f t="shared" si="338"/>
        <v>0.88200348534735873</v>
      </c>
      <c r="M387" s="4"/>
      <c r="N387" s="4"/>
      <c r="O387" s="4"/>
      <c r="P387" s="4"/>
      <c r="Q387" s="4"/>
      <c r="R387" s="4"/>
      <c r="W387">
        <v>0</v>
      </c>
      <c r="X387">
        <v>2.6410999999999998</v>
      </c>
      <c r="Y387">
        <v>18.133199999999999</v>
      </c>
      <c r="Z387">
        <v>13.869300000000001</v>
      </c>
      <c r="AA387">
        <v>11.434799999999999</v>
      </c>
      <c r="AB387">
        <v>3.0021</v>
      </c>
      <c r="AC387">
        <v>0.29330000000000001</v>
      </c>
      <c r="AD387">
        <v>0.25559999999999999</v>
      </c>
    </row>
    <row r="388" spans="1:30">
      <c r="A388">
        <v>387</v>
      </c>
      <c r="B388" s="5" t="s">
        <v>33</v>
      </c>
      <c r="C388">
        <v>3</v>
      </c>
      <c r="D388" t="s">
        <v>23</v>
      </c>
      <c r="E388">
        <v>4</v>
      </c>
      <c r="F388" t="s">
        <v>26</v>
      </c>
      <c r="G388">
        <v>1.2928999999999999</v>
      </c>
      <c r="H388">
        <v>63.875700000000002</v>
      </c>
      <c r="I388">
        <f>H388-G388</f>
        <v>62.582799999999999</v>
      </c>
      <c r="J388">
        <v>5</v>
      </c>
      <c r="K388">
        <f t="shared" si="341"/>
        <v>57.157143750000003</v>
      </c>
      <c r="L388">
        <f t="shared" si="338"/>
        <v>1.0949252515788981</v>
      </c>
      <c r="M388">
        <v>165</v>
      </c>
      <c r="N388">
        <v>39.486699999999999</v>
      </c>
      <c r="O388">
        <v>15.576000000000001</v>
      </c>
      <c r="P388">
        <f t="shared" ref="P388" si="342">O388+N388</f>
        <v>55.0627</v>
      </c>
      <c r="Q388">
        <v>55.043999999999997</v>
      </c>
      <c r="R388">
        <v>54.47504</v>
      </c>
      <c r="S388">
        <f t="shared" ref="S388" si="343">R388-N388</f>
        <v>14.988340000000001</v>
      </c>
      <c r="T388">
        <f t="shared" ref="T388" si="344">((O388-S388)/O388)*100</f>
        <v>3.7728556753980458</v>
      </c>
      <c r="U388">
        <f t="shared" ref="U388:U450" si="345">-0.63+0.4*T388</f>
        <v>0.87914227015921831</v>
      </c>
      <c r="V388">
        <f>L388*(U388/100)</f>
        <v>9.6259507132772579E-3</v>
      </c>
    </row>
    <row r="389" spans="1:30">
      <c r="A389">
        <v>388</v>
      </c>
      <c r="B389" s="5" t="s">
        <v>33</v>
      </c>
      <c r="C389">
        <v>3</v>
      </c>
      <c r="D389" t="s">
        <v>23</v>
      </c>
      <c r="E389">
        <v>4</v>
      </c>
      <c r="F389" t="s">
        <v>27</v>
      </c>
      <c r="G389">
        <v>1.2770999999999999</v>
      </c>
      <c r="H389">
        <v>66.910700000000006</v>
      </c>
      <c r="I389">
        <f>H389-G389</f>
        <v>65.633600000000001</v>
      </c>
      <c r="J389">
        <v>5</v>
      </c>
      <c r="K389">
        <f t="shared" si="341"/>
        <v>57.157143750000003</v>
      </c>
      <c r="L389">
        <f t="shared" si="338"/>
        <v>1.1483009068310905</v>
      </c>
      <c r="M389" s="4"/>
      <c r="N389" s="4"/>
      <c r="O389" s="4"/>
      <c r="P389" s="4"/>
      <c r="Q389" s="4"/>
      <c r="R389" s="4"/>
      <c r="W389">
        <v>0</v>
      </c>
      <c r="X389">
        <v>1.3851</v>
      </c>
      <c r="Y389">
        <v>18.170100000000001</v>
      </c>
      <c r="Z389">
        <v>24.438300000000002</v>
      </c>
      <c r="AA389">
        <v>16.642700000000001</v>
      </c>
      <c r="AB389">
        <v>3.8058000000000001</v>
      </c>
      <c r="AC389">
        <v>0.33019999999999999</v>
      </c>
      <c r="AD389">
        <v>0.2361</v>
      </c>
    </row>
    <row r="390" spans="1:30">
      <c r="A390">
        <v>389</v>
      </c>
      <c r="B390" s="5" t="s">
        <v>33</v>
      </c>
      <c r="C390">
        <v>3</v>
      </c>
      <c r="D390" t="s">
        <v>28</v>
      </c>
      <c r="E390">
        <v>4</v>
      </c>
      <c r="F390" t="s">
        <v>24</v>
      </c>
      <c r="G390">
        <v>1.2795000000000001</v>
      </c>
      <c r="H390">
        <v>79.905500000000004</v>
      </c>
      <c r="I390">
        <f>H390-G390</f>
        <v>78.626000000000005</v>
      </c>
      <c r="J390">
        <v>5</v>
      </c>
      <c r="K390">
        <f t="shared" si="341"/>
        <v>57.157143750000003</v>
      </c>
      <c r="L390">
        <f t="shared" si="338"/>
        <v>1.3756110757371427</v>
      </c>
      <c r="M390">
        <v>205</v>
      </c>
      <c r="N390">
        <v>39.579599999999999</v>
      </c>
      <c r="O390">
        <v>15.13</v>
      </c>
      <c r="P390">
        <f t="shared" ref="P390" si="346">O390+N390</f>
        <v>54.709600000000002</v>
      </c>
      <c r="Q390">
        <v>54.694000000000003</v>
      </c>
      <c r="R390">
        <v>54.388800000000003</v>
      </c>
      <c r="S390">
        <f t="shared" ref="S390" si="347">R390-N390</f>
        <v>14.809200000000004</v>
      </c>
      <c r="T390">
        <f t="shared" ref="T390" si="348">((O390-S390)/O390)*100</f>
        <v>2.1202908129543729</v>
      </c>
      <c r="U390">
        <f t="shared" si="345"/>
        <v>0.21811632518174917</v>
      </c>
      <c r="V390">
        <f>L390*(U390/100)</f>
        <v>3.0004323271909839E-3</v>
      </c>
    </row>
    <row r="391" spans="1:30">
      <c r="A391">
        <v>390</v>
      </c>
      <c r="B391" s="5" t="s">
        <v>33</v>
      </c>
      <c r="C391">
        <v>3</v>
      </c>
      <c r="D391" t="s">
        <v>28</v>
      </c>
      <c r="E391">
        <v>4</v>
      </c>
      <c r="F391" t="s">
        <v>25</v>
      </c>
      <c r="G391">
        <v>1.2835000000000001</v>
      </c>
      <c r="H391">
        <v>70.742699999999999</v>
      </c>
      <c r="I391">
        <f>H391-G391</f>
        <v>69.459199999999996</v>
      </c>
      <c r="J391">
        <v>5</v>
      </c>
      <c r="K391">
        <f t="shared" si="341"/>
        <v>57.157143750000003</v>
      </c>
      <c r="L391">
        <f t="shared" si="338"/>
        <v>1.215232172968755</v>
      </c>
      <c r="M391" s="4"/>
      <c r="N391" s="4"/>
      <c r="O391" s="4"/>
      <c r="P391" s="4"/>
      <c r="Q391" s="4"/>
      <c r="R391" s="4"/>
      <c r="W391">
        <v>0</v>
      </c>
      <c r="X391">
        <v>0.89290000000000003</v>
      </c>
      <c r="Y391">
        <v>17.119</v>
      </c>
      <c r="Z391">
        <v>26.2959</v>
      </c>
      <c r="AA391">
        <v>18.880099999999999</v>
      </c>
      <c r="AB391">
        <v>3.8731</v>
      </c>
      <c r="AC391">
        <v>0.318</v>
      </c>
      <c r="AD391">
        <v>0.32919999999999999</v>
      </c>
    </row>
    <row r="392" spans="1:30">
      <c r="A392">
        <v>391</v>
      </c>
      <c r="B392" s="5" t="s">
        <v>33</v>
      </c>
      <c r="C392">
        <v>3</v>
      </c>
      <c r="D392" t="s">
        <v>28</v>
      </c>
      <c r="E392">
        <v>4</v>
      </c>
      <c r="F392" t="s">
        <v>26</v>
      </c>
      <c r="G392">
        <v>1.2873000000000001</v>
      </c>
      <c r="H392">
        <v>72.513800000000003</v>
      </c>
      <c r="I392">
        <f>H392-G392</f>
        <v>71.226500000000001</v>
      </c>
      <c r="J392">
        <v>5</v>
      </c>
      <c r="K392">
        <f t="shared" si="341"/>
        <v>57.157143750000003</v>
      </c>
      <c r="L392">
        <f t="shared" si="338"/>
        <v>1.2461521924807517</v>
      </c>
      <c r="M392">
        <v>206</v>
      </c>
      <c r="N392">
        <v>41.215899999999998</v>
      </c>
      <c r="O392">
        <v>15.4358</v>
      </c>
      <c r="P392">
        <f t="shared" ref="P392" si="349">O392+N392</f>
        <v>56.651699999999998</v>
      </c>
      <c r="Q392">
        <v>56.637999999999998</v>
      </c>
      <c r="R392">
        <v>56.348100000000002</v>
      </c>
      <c r="S392">
        <f t="shared" ref="S392" si="350">R392-N392</f>
        <v>15.132200000000005</v>
      </c>
      <c r="T392">
        <f t="shared" ref="T392" si="351">((O392-S392)/O392)*100</f>
        <v>1.9668562691923699</v>
      </c>
      <c r="U392">
        <f t="shared" si="345"/>
        <v>0.15674250767694797</v>
      </c>
      <c r="V392">
        <f>L392*(U392/100)</f>
        <v>1.9532501959655976E-3</v>
      </c>
    </row>
    <row r="393" spans="1:30">
      <c r="A393">
        <v>392</v>
      </c>
      <c r="B393" s="5" t="s">
        <v>33</v>
      </c>
      <c r="C393">
        <v>3</v>
      </c>
      <c r="D393" t="s">
        <v>28</v>
      </c>
      <c r="E393">
        <v>4</v>
      </c>
      <c r="F393" t="s">
        <v>27</v>
      </c>
      <c r="G393">
        <v>1.2774000000000001</v>
      </c>
      <c r="H393">
        <v>74.684200000000004</v>
      </c>
      <c r="I393">
        <f>H393-G393</f>
        <v>73.406800000000004</v>
      </c>
      <c r="J393">
        <v>5</v>
      </c>
      <c r="K393">
        <f t="shared" si="341"/>
        <v>57.157143750000003</v>
      </c>
      <c r="L393">
        <f t="shared" si="338"/>
        <v>1.2842979054564811</v>
      </c>
      <c r="M393" s="4"/>
      <c r="N393" s="4"/>
      <c r="O393" s="4"/>
      <c r="P393" s="4"/>
      <c r="Q393" s="4"/>
      <c r="R393" s="4"/>
      <c r="W393">
        <v>0</v>
      </c>
      <c r="X393">
        <v>0.71699999999999997</v>
      </c>
      <c r="Y393">
        <v>17.737300000000001</v>
      </c>
      <c r="Z393">
        <v>29.270299999999999</v>
      </c>
      <c r="AA393">
        <v>20.808199999999999</v>
      </c>
      <c r="AB393">
        <v>3.8412999999999999</v>
      </c>
      <c r="AC393">
        <v>0.28470000000000001</v>
      </c>
      <c r="AD393">
        <v>0.26590000000000003</v>
      </c>
    </row>
    <row r="394" spans="1:30">
      <c r="A394">
        <v>393</v>
      </c>
      <c r="B394" s="5" t="s">
        <v>33</v>
      </c>
      <c r="C394">
        <v>3</v>
      </c>
      <c r="D394" t="s">
        <v>29</v>
      </c>
      <c r="E394">
        <v>4</v>
      </c>
      <c r="F394" t="s">
        <v>24</v>
      </c>
      <c r="G394">
        <v>1.2863</v>
      </c>
      <c r="H394">
        <v>64.937200000000004</v>
      </c>
      <c r="I394">
        <f>H394-G394</f>
        <v>63.650900000000007</v>
      </c>
      <c r="J394">
        <v>5</v>
      </c>
      <c r="K394">
        <f t="shared" si="341"/>
        <v>57.157143750000003</v>
      </c>
      <c r="L394">
        <f t="shared" si="338"/>
        <v>1.1136123295174281</v>
      </c>
      <c r="M394">
        <v>207</v>
      </c>
      <c r="N394">
        <v>38.231900000000003</v>
      </c>
      <c r="O394">
        <v>15.287699999999999</v>
      </c>
      <c r="P394">
        <f t="shared" ref="P394" si="352">O394+N394</f>
        <v>53.519600000000004</v>
      </c>
      <c r="Q394">
        <v>53.507199999999997</v>
      </c>
      <c r="R394">
        <v>53.225000000000001</v>
      </c>
      <c r="S394">
        <f t="shared" ref="S394" si="353">R394-N394</f>
        <v>14.993099999999998</v>
      </c>
      <c r="T394">
        <f t="shared" ref="T394" si="354">((O394-S394)/O394)*100</f>
        <v>1.9270393846033143</v>
      </c>
      <c r="U394">
        <f t="shared" si="345"/>
        <v>0.14081575384132572</v>
      </c>
      <c r="V394">
        <f>L394*(U394/100)</f>
        <v>1.5681415966799146E-3</v>
      </c>
    </row>
    <row r="395" spans="1:30">
      <c r="A395">
        <v>394</v>
      </c>
      <c r="B395" s="5" t="s">
        <v>33</v>
      </c>
      <c r="C395">
        <v>3</v>
      </c>
      <c r="D395" s="5" t="s">
        <v>29</v>
      </c>
      <c r="E395">
        <v>4</v>
      </c>
      <c r="F395" t="s">
        <v>25</v>
      </c>
      <c r="G395">
        <v>1.2806999999999999</v>
      </c>
      <c r="H395">
        <v>78.265199999999993</v>
      </c>
      <c r="I395">
        <f>H395-G395</f>
        <v>76.984499999999997</v>
      </c>
      <c r="J395">
        <v>5</v>
      </c>
      <c r="K395">
        <f t="shared" si="341"/>
        <v>57.157143750000003</v>
      </c>
      <c r="L395">
        <f t="shared" si="338"/>
        <v>1.346892005953324</v>
      </c>
      <c r="M395" s="4"/>
      <c r="N395" s="4"/>
      <c r="O395" s="4"/>
      <c r="P395" s="4"/>
      <c r="Q395" s="4"/>
      <c r="R395" s="4"/>
      <c r="W395">
        <v>0</v>
      </c>
      <c r="X395">
        <v>0.16619999999999999</v>
      </c>
      <c r="Y395">
        <v>11.087300000000001</v>
      </c>
      <c r="Z395">
        <v>30.358899999999998</v>
      </c>
      <c r="AA395">
        <v>29.4666</v>
      </c>
      <c r="AB395">
        <v>4.8758800000000004</v>
      </c>
      <c r="AC395">
        <v>0.30690000000000001</v>
      </c>
      <c r="AD395">
        <v>0.15579999999999999</v>
      </c>
    </row>
    <row r="396" spans="1:30">
      <c r="A396">
        <v>395</v>
      </c>
      <c r="B396" s="5" t="s">
        <v>33</v>
      </c>
      <c r="C396">
        <v>3</v>
      </c>
      <c r="D396" t="s">
        <v>29</v>
      </c>
      <c r="E396">
        <v>4</v>
      </c>
      <c r="F396" t="s">
        <v>26</v>
      </c>
      <c r="G396">
        <v>1.2797000000000001</v>
      </c>
      <c r="H396">
        <v>75.098200000000006</v>
      </c>
      <c r="I396">
        <f>H396-G396</f>
        <v>73.8185</v>
      </c>
      <c r="J396">
        <v>5</v>
      </c>
      <c r="K396">
        <f t="shared" si="341"/>
        <v>57.157143750000003</v>
      </c>
      <c r="L396">
        <f t="shared" si="338"/>
        <v>1.2915008546066473</v>
      </c>
      <c r="M396">
        <v>203</v>
      </c>
      <c r="N396">
        <v>40.5685</v>
      </c>
      <c r="O396">
        <v>15.7475</v>
      </c>
      <c r="P396">
        <f t="shared" ref="P396" si="355">O396+N396</f>
        <v>56.316000000000003</v>
      </c>
      <c r="Q396">
        <v>56.302</v>
      </c>
      <c r="R396">
        <v>56.009399999999999</v>
      </c>
      <c r="S396">
        <f t="shared" ref="S396" si="356">R396-N396</f>
        <v>15.440899999999999</v>
      </c>
      <c r="T396">
        <f t="shared" ref="T396" si="357">((O396-S396)/O396)*100</f>
        <v>1.9469757104302352</v>
      </c>
      <c r="U396">
        <f t="shared" si="345"/>
        <v>0.14879028417209417</v>
      </c>
      <c r="V396">
        <f>L396*(U396/100)</f>
        <v>1.9216277916542551E-3</v>
      </c>
    </row>
    <row r="397" spans="1:30">
      <c r="A397">
        <v>396</v>
      </c>
      <c r="B397" s="5" t="s">
        <v>33</v>
      </c>
      <c r="C397">
        <v>3</v>
      </c>
      <c r="D397" s="5" t="s">
        <v>29</v>
      </c>
      <c r="E397">
        <v>4</v>
      </c>
      <c r="F397" t="s">
        <v>27</v>
      </c>
      <c r="G397">
        <v>1.2747999999999999</v>
      </c>
      <c r="H397">
        <v>79.776300000000006</v>
      </c>
      <c r="I397">
        <f>H397-G397</f>
        <v>78.501500000000007</v>
      </c>
      <c r="J397">
        <v>5</v>
      </c>
      <c r="K397">
        <f t="shared" si="341"/>
        <v>57.157143750000003</v>
      </c>
      <c r="L397">
        <f t="shared" si="338"/>
        <v>1.3734328703225309</v>
      </c>
      <c r="M397" s="4"/>
      <c r="N397" s="4"/>
      <c r="O397" s="4"/>
      <c r="P397" s="4"/>
      <c r="Q397" s="4"/>
      <c r="R397" s="4"/>
      <c r="W397">
        <v>0</v>
      </c>
      <c r="X397">
        <v>0.85350000000000004</v>
      </c>
      <c r="Y397">
        <v>18.9772</v>
      </c>
      <c r="Z397">
        <v>33.272300000000001</v>
      </c>
      <c r="AA397">
        <v>20.496700000000001</v>
      </c>
      <c r="AB397">
        <v>3.5106999999999999</v>
      </c>
      <c r="AC397">
        <v>0.2215</v>
      </c>
      <c r="AD397">
        <v>0.2278</v>
      </c>
    </row>
    <row r="398" spans="1:30">
      <c r="A398">
        <v>397</v>
      </c>
      <c r="B398" s="5" t="s">
        <v>33</v>
      </c>
      <c r="C398">
        <v>3</v>
      </c>
      <c r="D398" t="s">
        <v>30</v>
      </c>
      <c r="E398">
        <v>4</v>
      </c>
      <c r="F398" t="s">
        <v>24</v>
      </c>
      <c r="G398">
        <v>1.2805</v>
      </c>
      <c r="H398">
        <v>76.387600000000006</v>
      </c>
      <c r="I398">
        <f>H398-G398</f>
        <v>75.107100000000003</v>
      </c>
      <c r="J398">
        <v>5</v>
      </c>
      <c r="K398">
        <f t="shared" si="341"/>
        <v>57.157143750000003</v>
      </c>
      <c r="L398">
        <f t="shared" si="338"/>
        <v>1.3140457180385261</v>
      </c>
      <c r="M398">
        <v>0</v>
      </c>
      <c r="N398">
        <v>38.147199999999998</v>
      </c>
      <c r="O398">
        <v>15.2136</v>
      </c>
      <c r="P398">
        <f t="shared" ref="P398" si="358">O398+N398</f>
        <v>53.360799999999998</v>
      </c>
      <c r="Q398">
        <v>53.347000000000001</v>
      </c>
      <c r="R398">
        <v>53.057200000000002</v>
      </c>
      <c r="S398">
        <f t="shared" ref="S398" si="359">R398-N398</f>
        <v>14.910000000000004</v>
      </c>
      <c r="T398">
        <f t="shared" ref="T398" si="360">((O398-S398)/O398)*100</f>
        <v>1.9955828995109368</v>
      </c>
      <c r="U398">
        <f t="shared" si="345"/>
        <v>0.16823315980437481</v>
      </c>
      <c r="V398">
        <f>L398*(U398/100)</f>
        <v>2.210660632730298E-3</v>
      </c>
    </row>
    <row r="399" spans="1:30">
      <c r="A399">
        <v>398</v>
      </c>
      <c r="B399" s="5" t="s">
        <v>33</v>
      </c>
      <c r="C399">
        <v>3</v>
      </c>
      <c r="D399" s="5" t="s">
        <v>30</v>
      </c>
      <c r="E399">
        <v>4</v>
      </c>
      <c r="F399" t="s">
        <v>25</v>
      </c>
      <c r="G399">
        <v>1.2822</v>
      </c>
      <c r="H399">
        <v>79.500699999999995</v>
      </c>
      <c r="I399">
        <f>H399-G399</f>
        <v>78.218499999999992</v>
      </c>
      <c r="J399">
        <v>5</v>
      </c>
      <c r="K399">
        <f t="shared" si="341"/>
        <v>57.157143750000003</v>
      </c>
      <c r="L399">
        <f t="shared" si="338"/>
        <v>1.3684816082154208</v>
      </c>
      <c r="M399" s="4"/>
      <c r="N399" s="4"/>
      <c r="O399" s="4"/>
      <c r="P399" s="4"/>
      <c r="Q399" s="4"/>
      <c r="R399" s="4"/>
      <c r="W399">
        <v>0</v>
      </c>
      <c r="X399">
        <v>0.79500000000000004</v>
      </c>
      <c r="Y399">
        <v>16.403500000000001</v>
      </c>
      <c r="Z399">
        <v>30.525300000000001</v>
      </c>
      <c r="AA399">
        <v>24.9739</v>
      </c>
      <c r="AB399">
        <v>4.2167000000000003</v>
      </c>
      <c r="AC399">
        <v>0.27029999999999998</v>
      </c>
      <c r="AD399">
        <v>0.22370000000000001</v>
      </c>
    </row>
    <row r="400" spans="1:30">
      <c r="A400">
        <v>399</v>
      </c>
      <c r="B400" s="5" t="s">
        <v>33</v>
      </c>
      <c r="C400">
        <v>3</v>
      </c>
      <c r="D400" t="s">
        <v>30</v>
      </c>
      <c r="E400">
        <v>4</v>
      </c>
      <c r="F400" t="s">
        <v>26</v>
      </c>
      <c r="G400">
        <v>1.2848999999999999</v>
      </c>
      <c r="H400">
        <v>81.055300000000003</v>
      </c>
      <c r="I400">
        <f>H400-G400</f>
        <v>79.770400000000009</v>
      </c>
      <c r="J400">
        <v>5</v>
      </c>
      <c r="K400">
        <f t="shared" si="341"/>
        <v>57.157143750000003</v>
      </c>
      <c r="L400">
        <f t="shared" si="338"/>
        <v>1.395633069925752</v>
      </c>
      <c r="M400">
        <v>158</v>
      </c>
      <c r="N400">
        <v>38.189399999999999</v>
      </c>
      <c r="O400">
        <v>15.2151</v>
      </c>
      <c r="P400">
        <f t="shared" ref="P400" si="361">O400+N400</f>
        <v>53.404499999999999</v>
      </c>
      <c r="Q400">
        <v>53.390799999999999</v>
      </c>
      <c r="R400">
        <v>53.103299999999997</v>
      </c>
      <c r="S400">
        <f t="shared" ref="S400" si="362">R400-N400</f>
        <v>14.913899999999998</v>
      </c>
      <c r="T400">
        <f t="shared" ref="T400" si="363">((O400-S400)/O400)*100</f>
        <v>1.9796123587751739</v>
      </c>
      <c r="U400">
        <f t="shared" si="345"/>
        <v>0.16184494351006962</v>
      </c>
      <c r="V400">
        <f>L400*(U400/100)</f>
        <v>2.2587615536291839E-3</v>
      </c>
    </row>
    <row r="401" spans="1:30">
      <c r="A401">
        <v>400</v>
      </c>
      <c r="B401" s="5" t="s">
        <v>33</v>
      </c>
      <c r="C401">
        <v>3</v>
      </c>
      <c r="D401" s="5" t="s">
        <v>30</v>
      </c>
      <c r="E401">
        <v>4</v>
      </c>
      <c r="F401" t="s">
        <v>27</v>
      </c>
      <c r="G401">
        <v>1.2899</v>
      </c>
      <c r="H401">
        <v>74.908000000000001</v>
      </c>
      <c r="I401">
        <f>H401-G401</f>
        <v>73.618099999999998</v>
      </c>
      <c r="J401">
        <v>5</v>
      </c>
      <c r="K401">
        <f t="shared" si="341"/>
        <v>57.157143750000003</v>
      </c>
      <c r="L401">
        <f t="shared" si="338"/>
        <v>1.2879947311922841</v>
      </c>
      <c r="M401" s="4"/>
      <c r="N401" s="4"/>
      <c r="O401" s="4"/>
      <c r="P401" s="4"/>
      <c r="Q401" s="4"/>
      <c r="R401" s="4"/>
      <c r="W401">
        <v>0</v>
      </c>
      <c r="X401">
        <v>0.95399999999999996</v>
      </c>
      <c r="Y401">
        <v>20.203600000000002</v>
      </c>
      <c r="Z401">
        <v>30.2315</v>
      </c>
      <c r="AA401">
        <v>18.3935</v>
      </c>
      <c r="AB401">
        <v>2.8115000000000001</v>
      </c>
      <c r="AC401">
        <v>0.22600000000000001</v>
      </c>
      <c r="AD401">
        <v>0.222</v>
      </c>
    </row>
    <row r="402" spans="1:30">
      <c r="A402">
        <v>401</v>
      </c>
      <c r="B402" s="5" t="s">
        <v>33</v>
      </c>
      <c r="C402">
        <v>3</v>
      </c>
      <c r="D402" t="s">
        <v>23</v>
      </c>
      <c r="E402">
        <v>5</v>
      </c>
      <c r="F402" s="5" t="s">
        <v>24</v>
      </c>
      <c r="G402">
        <v>1.2761</v>
      </c>
      <c r="H402">
        <v>72.703100000000006</v>
      </c>
      <c r="I402">
        <f>H402-G402</f>
        <v>71.427000000000007</v>
      </c>
      <c r="J402">
        <v>5</v>
      </c>
      <c r="K402">
        <f t="shared" si="341"/>
        <v>57.157143750000003</v>
      </c>
      <c r="L402">
        <f t="shared" si="338"/>
        <v>1.249660065457697</v>
      </c>
      <c r="M402">
        <v>312</v>
      </c>
      <c r="N402">
        <v>40.5518</v>
      </c>
      <c r="O402">
        <v>15.3163</v>
      </c>
      <c r="P402">
        <f t="shared" ref="P402" si="364">O402+N402</f>
        <v>55.868099999999998</v>
      </c>
      <c r="Q402">
        <v>55.853200000000001</v>
      </c>
      <c r="R402">
        <v>55.556899999999999</v>
      </c>
      <c r="S402">
        <f t="shared" ref="S402" si="365">R402-N402</f>
        <v>15.005099999999999</v>
      </c>
      <c r="T402">
        <f t="shared" ref="T402" si="366">((O402-S402)/O402)*100</f>
        <v>2.0318223069540378</v>
      </c>
      <c r="U402">
        <f t="shared" si="345"/>
        <v>0.18272892278161512</v>
      </c>
      <c r="V402">
        <f>L402*(U402/100)</f>
        <v>2.2834903760428765E-3</v>
      </c>
    </row>
    <row r="403" spans="1:30">
      <c r="A403">
        <v>402</v>
      </c>
      <c r="B403" s="5" t="s">
        <v>33</v>
      </c>
      <c r="C403">
        <v>3</v>
      </c>
      <c r="D403" t="s">
        <v>23</v>
      </c>
      <c r="E403">
        <v>5</v>
      </c>
      <c r="F403" s="5" t="s">
        <v>25</v>
      </c>
      <c r="G403">
        <v>1.2828999999999999</v>
      </c>
      <c r="H403">
        <v>76.112899999999996</v>
      </c>
      <c r="I403">
        <f>H403-G403</f>
        <v>74.83</v>
      </c>
      <c r="J403">
        <v>5</v>
      </c>
      <c r="K403">
        <f t="shared" si="341"/>
        <v>57.157143750000003</v>
      </c>
      <c r="L403">
        <f t="shared" si="338"/>
        <v>1.3091976801237553</v>
      </c>
      <c r="M403" s="4"/>
      <c r="N403" s="4"/>
      <c r="O403" s="4"/>
      <c r="P403" s="4"/>
      <c r="Q403" s="4"/>
      <c r="R403" s="4"/>
      <c r="W403">
        <v>0</v>
      </c>
      <c r="X403">
        <v>0.85160000000000002</v>
      </c>
      <c r="Y403">
        <v>23.323599999999999</v>
      </c>
      <c r="Z403">
        <v>30.798400000000001</v>
      </c>
      <c r="AA403">
        <v>15.5524</v>
      </c>
      <c r="AB403">
        <v>3.3782000000000001</v>
      </c>
      <c r="AC403">
        <v>0.29420000000000002</v>
      </c>
      <c r="AD403">
        <v>0.24590000000000001</v>
      </c>
    </row>
    <row r="404" spans="1:30">
      <c r="A404">
        <v>403</v>
      </c>
      <c r="B404" s="5" t="s">
        <v>33</v>
      </c>
      <c r="C404">
        <v>3</v>
      </c>
      <c r="D404" t="s">
        <v>23</v>
      </c>
      <c r="E404">
        <v>5</v>
      </c>
      <c r="F404" s="5" t="s">
        <v>26</v>
      </c>
      <c r="G404">
        <v>1.2907999999999999</v>
      </c>
      <c r="H404">
        <v>76.151899999999998</v>
      </c>
      <c r="I404">
        <f>H404-G404</f>
        <v>74.861099999999993</v>
      </c>
      <c r="J404">
        <v>5</v>
      </c>
      <c r="K404">
        <f t="shared" si="341"/>
        <v>57.157143750000003</v>
      </c>
      <c r="L404">
        <f t="shared" si="338"/>
        <v>1.3097417940867626</v>
      </c>
      <c r="M404">
        <v>304</v>
      </c>
      <c r="N404">
        <v>40.8904</v>
      </c>
      <c r="O404">
        <v>15.413600000000001</v>
      </c>
      <c r="P404">
        <f t="shared" ref="P404" si="367">O404+N404</f>
        <v>56.304000000000002</v>
      </c>
      <c r="Q404">
        <v>56.287700000000001</v>
      </c>
      <c r="R404">
        <v>55.9739</v>
      </c>
      <c r="S404">
        <f t="shared" ref="S404" si="368">R404-N404</f>
        <v>15.083500000000001</v>
      </c>
      <c r="T404">
        <f t="shared" ref="T404" si="369">((O404-S404)/O404)*100</f>
        <v>2.1416151969689095</v>
      </c>
      <c r="U404">
        <f t="shared" si="345"/>
        <v>0.22664607878756382</v>
      </c>
      <c r="V404">
        <f>L404*(U404/100)</f>
        <v>2.9684784185395356E-3</v>
      </c>
    </row>
    <row r="405" spans="1:30">
      <c r="A405">
        <v>404</v>
      </c>
      <c r="B405" s="5" t="s">
        <v>33</v>
      </c>
      <c r="C405">
        <v>3</v>
      </c>
      <c r="D405" t="s">
        <v>23</v>
      </c>
      <c r="E405">
        <v>5</v>
      </c>
      <c r="F405" s="5" t="s">
        <v>27</v>
      </c>
      <c r="G405">
        <v>1.2821</v>
      </c>
      <c r="H405">
        <v>77.561599999999999</v>
      </c>
      <c r="I405">
        <f>H405-G405</f>
        <v>76.279499999999999</v>
      </c>
      <c r="J405">
        <v>5</v>
      </c>
      <c r="K405">
        <f t="shared" si="341"/>
        <v>57.157143750000003</v>
      </c>
      <c r="L405">
        <f t="shared" si="338"/>
        <v>1.3345575897501001</v>
      </c>
      <c r="M405" s="4"/>
      <c r="N405" s="4"/>
      <c r="O405" s="4"/>
      <c r="P405" s="4"/>
      <c r="Q405" s="4"/>
      <c r="R405" s="4"/>
      <c r="W405">
        <v>0</v>
      </c>
      <c r="X405">
        <v>0.60950000000000004</v>
      </c>
      <c r="Y405">
        <v>20.4618</v>
      </c>
      <c r="Z405">
        <v>30.7593</v>
      </c>
      <c r="AA405">
        <v>20.3659</v>
      </c>
      <c r="AB405">
        <v>3.3075000000000001</v>
      </c>
      <c r="AC405">
        <v>0.20610000000000001</v>
      </c>
      <c r="AD405">
        <v>0.24390000000000001</v>
      </c>
    </row>
    <row r="406" spans="1:30">
      <c r="A406">
        <v>405</v>
      </c>
      <c r="B406" s="5" t="s">
        <v>33</v>
      </c>
      <c r="C406">
        <v>3</v>
      </c>
      <c r="D406" t="s">
        <v>28</v>
      </c>
      <c r="E406">
        <v>5</v>
      </c>
      <c r="F406" s="5" t="s">
        <v>24</v>
      </c>
      <c r="G406">
        <v>1.286</v>
      </c>
      <c r="H406">
        <v>60.249000000000002</v>
      </c>
      <c r="I406">
        <f>H406-G406</f>
        <v>58.963000000000001</v>
      </c>
      <c r="J406">
        <v>5</v>
      </c>
      <c r="K406">
        <f t="shared" si="341"/>
        <v>57.157143750000003</v>
      </c>
      <c r="L406">
        <f t="shared" si="338"/>
        <v>1.0315945852350259</v>
      </c>
      <c r="M406">
        <v>16</v>
      </c>
      <c r="N406">
        <v>42.151400000000002</v>
      </c>
      <c r="O406">
        <v>15.363300000000001</v>
      </c>
      <c r="P406">
        <f t="shared" ref="P406" si="370">O406+N406</f>
        <v>57.514700000000005</v>
      </c>
      <c r="Q406">
        <v>57.497300000000003</v>
      </c>
      <c r="R406">
        <v>57.182099999999998</v>
      </c>
      <c r="S406">
        <f t="shared" ref="S406" si="371">R406-N406</f>
        <v>15.030699999999996</v>
      </c>
      <c r="T406">
        <f t="shared" ref="T406" si="372">((O406-S406)/O406)*100</f>
        <v>2.1648994682132399</v>
      </c>
      <c r="U406">
        <f t="shared" si="345"/>
        <v>0.23595978728529599</v>
      </c>
      <c r="V406">
        <f>L406*(U406/100)</f>
        <v>2.4341483889671984E-3</v>
      </c>
    </row>
    <row r="407" spans="1:30">
      <c r="A407">
        <v>406</v>
      </c>
      <c r="B407" s="5" t="s">
        <v>33</v>
      </c>
      <c r="C407">
        <v>3</v>
      </c>
      <c r="D407" t="s">
        <v>28</v>
      </c>
      <c r="E407">
        <v>5</v>
      </c>
      <c r="F407" s="5" t="s">
        <v>25</v>
      </c>
      <c r="G407">
        <v>1.2814000000000001</v>
      </c>
      <c r="H407">
        <v>66.156700000000001</v>
      </c>
      <c r="I407">
        <f>H407-G407</f>
        <v>64.875299999999996</v>
      </c>
      <c r="J407">
        <v>5</v>
      </c>
      <c r="K407">
        <f t="shared" si="341"/>
        <v>57.157143750000003</v>
      </c>
      <c r="L407">
        <f t="shared" si="338"/>
        <v>1.1350339737716511</v>
      </c>
      <c r="M407" s="4"/>
      <c r="N407" s="4"/>
      <c r="O407" s="4"/>
      <c r="P407" s="4"/>
      <c r="Q407" s="4"/>
      <c r="R407" s="4"/>
      <c r="W407">
        <v>0</v>
      </c>
      <c r="X407">
        <v>1.2443</v>
      </c>
      <c r="Y407">
        <v>15.404400000000001</v>
      </c>
      <c r="Z407">
        <v>24.4697</v>
      </c>
      <c r="AA407">
        <v>18.4147</v>
      </c>
      <c r="AB407">
        <v>4.2088999999999999</v>
      </c>
      <c r="AC407">
        <v>0.34599999999999997</v>
      </c>
      <c r="AD407">
        <v>0.21340000000000001</v>
      </c>
    </row>
    <row r="408" spans="1:30">
      <c r="A408">
        <v>407</v>
      </c>
      <c r="B408" s="5" t="s">
        <v>33</v>
      </c>
      <c r="C408">
        <v>3</v>
      </c>
      <c r="D408" t="s">
        <v>28</v>
      </c>
      <c r="E408">
        <v>5</v>
      </c>
      <c r="F408" s="5" t="s">
        <v>26</v>
      </c>
      <c r="G408">
        <v>1.2771999999999999</v>
      </c>
      <c r="H408">
        <v>68.5197</v>
      </c>
      <c r="I408">
        <f>H408-G408</f>
        <v>67.242500000000007</v>
      </c>
      <c r="J408">
        <v>5</v>
      </c>
      <c r="K408">
        <f t="shared" si="341"/>
        <v>57.157143750000003</v>
      </c>
      <c r="L408">
        <f t="shared" si="338"/>
        <v>1.1764496192131715</v>
      </c>
      <c r="M408">
        <v>236</v>
      </c>
      <c r="N408">
        <v>39.638199999999998</v>
      </c>
      <c r="O408">
        <v>15.929399999999999</v>
      </c>
      <c r="P408">
        <f t="shared" ref="P408" si="373">O408+N408</f>
        <v>55.567599999999999</v>
      </c>
      <c r="Q408">
        <v>55.550199999999997</v>
      </c>
      <c r="R408">
        <v>55.236499999999999</v>
      </c>
      <c r="S408">
        <f t="shared" ref="S408" si="374">R408-N408</f>
        <v>15.598300000000002</v>
      </c>
      <c r="T408">
        <f t="shared" ref="T408" si="375">((O408-S408)/O408)*100</f>
        <v>2.0785465868143027</v>
      </c>
      <c r="U408">
        <f t="shared" si="345"/>
        <v>0.20141863472572108</v>
      </c>
      <c r="V408">
        <f>L408*(U408/100)</f>
        <v>2.3695887612551142E-3</v>
      </c>
    </row>
    <row r="409" spans="1:30">
      <c r="A409">
        <v>408</v>
      </c>
      <c r="B409" s="5" t="s">
        <v>33</v>
      </c>
      <c r="C409">
        <v>3</v>
      </c>
      <c r="D409" t="s">
        <v>28</v>
      </c>
      <c r="E409">
        <v>5</v>
      </c>
      <c r="F409" s="5" t="s">
        <v>27</v>
      </c>
      <c r="G409">
        <v>1.2847</v>
      </c>
      <c r="H409">
        <v>73.287599999999998</v>
      </c>
      <c r="I409">
        <f>H409-G409</f>
        <v>72.002899999999997</v>
      </c>
      <c r="J409">
        <v>5</v>
      </c>
      <c r="K409">
        <f t="shared" si="341"/>
        <v>57.157143750000003</v>
      </c>
      <c r="L409">
        <f t="shared" si="338"/>
        <v>1.2597357963675362</v>
      </c>
      <c r="M409" s="4"/>
      <c r="N409" s="4"/>
      <c r="O409" s="4"/>
      <c r="P409" s="4"/>
      <c r="Q409" s="4"/>
      <c r="R409" s="4"/>
      <c r="W409">
        <v>0</v>
      </c>
      <c r="X409">
        <v>0.99619999999999997</v>
      </c>
      <c r="Y409">
        <v>16.497800000000002</v>
      </c>
      <c r="Z409">
        <v>28.06</v>
      </c>
      <c r="AA409">
        <v>20.013400000000001</v>
      </c>
      <c r="AB409">
        <v>4.7230999999999996</v>
      </c>
      <c r="AC409">
        <v>0.44130000000000003</v>
      </c>
      <c r="AD409">
        <v>0.3997</v>
      </c>
    </row>
    <row r="410" spans="1:30">
      <c r="A410">
        <v>409</v>
      </c>
      <c r="B410" s="5" t="s">
        <v>33</v>
      </c>
      <c r="C410">
        <v>3</v>
      </c>
      <c r="D410" t="s">
        <v>29</v>
      </c>
      <c r="E410">
        <v>5</v>
      </c>
      <c r="F410" s="5" t="s">
        <v>24</v>
      </c>
      <c r="G410">
        <v>1.2837000000000001</v>
      </c>
      <c r="H410">
        <v>59.512</v>
      </c>
      <c r="I410">
        <f>H410-G410</f>
        <v>58.228299999999997</v>
      </c>
      <c r="J410">
        <v>5</v>
      </c>
      <c r="K410">
        <f t="shared" si="341"/>
        <v>57.157143750000003</v>
      </c>
      <c r="L410">
        <f t="shared" si="338"/>
        <v>1.0187405489449426</v>
      </c>
      <c r="M410">
        <v>310</v>
      </c>
      <c r="N410">
        <v>42.601399999999998</v>
      </c>
      <c r="O410">
        <v>15.356999999999999</v>
      </c>
      <c r="P410">
        <f t="shared" ref="P410" si="376">O410+N410</f>
        <v>57.958399999999997</v>
      </c>
      <c r="Q410">
        <v>57.942900000000002</v>
      </c>
      <c r="R410">
        <v>57.6586</v>
      </c>
      <c r="S410">
        <f t="shared" ref="S410" si="377">R410-N410</f>
        <v>15.057200000000002</v>
      </c>
      <c r="T410">
        <f t="shared" ref="T410" si="378">((O410-S410)/O410)*100</f>
        <v>1.9522042065507432</v>
      </c>
      <c r="U410">
        <f t="shared" si="345"/>
        <v>0.15088168262029733</v>
      </c>
      <c r="V410">
        <f>L410*(U410/100)</f>
        <v>1.537092881783383E-3</v>
      </c>
    </row>
    <row r="411" spans="1:30">
      <c r="A411">
        <v>410</v>
      </c>
      <c r="B411" s="5" t="s">
        <v>33</v>
      </c>
      <c r="C411">
        <v>3</v>
      </c>
      <c r="D411" s="5" t="s">
        <v>29</v>
      </c>
      <c r="E411">
        <v>5</v>
      </c>
      <c r="F411" s="5" t="s">
        <v>25</v>
      </c>
      <c r="G411">
        <v>1.2799</v>
      </c>
      <c r="H411">
        <v>69.766199999999998</v>
      </c>
      <c r="I411">
        <f>H411-G411</f>
        <v>68.4863</v>
      </c>
      <c r="J411">
        <v>5</v>
      </c>
      <c r="K411">
        <f t="shared" si="341"/>
        <v>57.157143750000003</v>
      </c>
      <c r="L411">
        <f t="shared" si="338"/>
        <v>1.198210678608306</v>
      </c>
      <c r="M411" s="4"/>
      <c r="N411" s="4"/>
      <c r="O411" s="4"/>
      <c r="P411" s="4"/>
      <c r="Q411" s="4"/>
      <c r="R411" s="4"/>
      <c r="W411">
        <v>0</v>
      </c>
      <c r="X411">
        <v>0.33760000000000001</v>
      </c>
      <c r="Y411">
        <v>15.235900000000001</v>
      </c>
      <c r="Z411">
        <v>30.290800000000001</v>
      </c>
      <c r="AA411">
        <v>18.180900000000001</v>
      </c>
      <c r="AB411">
        <v>3.2892999999999999</v>
      </c>
      <c r="AC411">
        <v>0.25280000000000002</v>
      </c>
      <c r="AD411">
        <v>0.1467</v>
      </c>
    </row>
    <row r="412" spans="1:30">
      <c r="A412">
        <v>411</v>
      </c>
      <c r="B412" s="5" t="s">
        <v>33</v>
      </c>
      <c r="C412">
        <v>3</v>
      </c>
      <c r="D412" t="s">
        <v>29</v>
      </c>
      <c r="E412">
        <v>5</v>
      </c>
      <c r="F412" s="5" t="s">
        <v>26</v>
      </c>
      <c r="G412">
        <v>1.2874000000000001</v>
      </c>
      <c r="H412">
        <v>72.176299999999998</v>
      </c>
      <c r="I412">
        <f>H412-G412</f>
        <v>70.888899999999992</v>
      </c>
      <c r="J412">
        <v>5</v>
      </c>
      <c r="K412">
        <f t="shared" si="341"/>
        <v>57.157143750000003</v>
      </c>
      <c r="L412">
        <f t="shared" si="338"/>
        <v>1.2402456692038601</v>
      </c>
      <c r="M412">
        <v>160</v>
      </c>
      <c r="N412">
        <v>38.911499999999997</v>
      </c>
      <c r="O412">
        <v>15.8231</v>
      </c>
      <c r="P412">
        <f t="shared" ref="P412" si="379">O412+N412</f>
        <v>54.7346</v>
      </c>
      <c r="Q412">
        <v>54.719000000000001</v>
      </c>
      <c r="R412">
        <v>54.426400000000001</v>
      </c>
      <c r="S412">
        <f t="shared" ref="S412" si="380">R412-N412</f>
        <v>15.514900000000004</v>
      </c>
      <c r="T412">
        <f t="shared" ref="T412" si="381">((O412-S412)/O412)*100</f>
        <v>1.9477852001187874</v>
      </c>
      <c r="U412">
        <f t="shared" si="345"/>
        <v>0.14911408004751503</v>
      </c>
      <c r="V412">
        <f>L412*(U412/100)</f>
        <v>1.8493809199624826E-3</v>
      </c>
    </row>
    <row r="413" spans="1:30">
      <c r="A413">
        <v>412</v>
      </c>
      <c r="B413" s="5" t="s">
        <v>33</v>
      </c>
      <c r="C413">
        <v>3</v>
      </c>
      <c r="D413" s="5" t="s">
        <v>29</v>
      </c>
      <c r="E413">
        <v>5</v>
      </c>
      <c r="F413" s="5" t="s">
        <v>27</v>
      </c>
      <c r="G413">
        <v>1.2883</v>
      </c>
      <c r="H413">
        <v>72.224199999999996</v>
      </c>
      <c r="I413">
        <f>H413-G413</f>
        <v>70.93589999999999</v>
      </c>
      <c r="J413">
        <v>5</v>
      </c>
      <c r="K413">
        <f t="shared" si="341"/>
        <v>57.157143750000003</v>
      </c>
      <c r="L413">
        <f t="shared" si="338"/>
        <v>1.2410679636174085</v>
      </c>
      <c r="M413" s="4"/>
      <c r="N413" s="4"/>
      <c r="O413" s="4"/>
      <c r="P413" s="4"/>
      <c r="Q413" s="4"/>
      <c r="R413" s="4"/>
      <c r="W413">
        <v>0</v>
      </c>
      <c r="X413">
        <v>0.91369999999999996</v>
      </c>
      <c r="Y413">
        <v>15.7197</v>
      </c>
      <c r="Z413">
        <v>30.7987</v>
      </c>
      <c r="AA413">
        <v>19.524799999999999</v>
      </c>
      <c r="AB413">
        <v>3.1413000000000002</v>
      </c>
      <c r="AC413">
        <v>0.21410000000000001</v>
      </c>
      <c r="AD413">
        <v>0.11559999999999999</v>
      </c>
    </row>
    <row r="414" spans="1:30">
      <c r="A414">
        <v>413</v>
      </c>
      <c r="B414" s="5" t="s">
        <v>33</v>
      </c>
      <c r="C414">
        <v>3</v>
      </c>
      <c r="D414" t="s">
        <v>30</v>
      </c>
      <c r="E414">
        <v>5</v>
      </c>
      <c r="F414" s="5" t="s">
        <v>24</v>
      </c>
      <c r="G414">
        <v>1.2817000000000001</v>
      </c>
      <c r="H414">
        <v>61.386800000000001</v>
      </c>
      <c r="I414">
        <f>H414-G414</f>
        <v>60.1051</v>
      </c>
      <c r="J414">
        <v>5</v>
      </c>
      <c r="K414">
        <f t="shared" si="341"/>
        <v>57.157143750000003</v>
      </c>
      <c r="L414">
        <f t="shared" si="338"/>
        <v>1.0515763394842486</v>
      </c>
      <c r="M414">
        <v>303</v>
      </c>
      <c r="N414">
        <v>37.109099999999998</v>
      </c>
      <c r="O414">
        <v>15.539099999999999</v>
      </c>
      <c r="P414">
        <f t="shared" ref="P414" si="382">O414+N414</f>
        <v>52.648199999999996</v>
      </c>
      <c r="Q414">
        <v>52.633499999999998</v>
      </c>
      <c r="R414">
        <v>52.330300000000001</v>
      </c>
      <c r="S414">
        <f t="shared" ref="S414" si="383">R414-N414</f>
        <v>15.221200000000003</v>
      </c>
      <c r="T414">
        <f t="shared" ref="T414" si="384">((O414-S414)/O414)*100</f>
        <v>2.0458070287210735</v>
      </c>
      <c r="U414">
        <f t="shared" si="345"/>
        <v>0.18832281148842944</v>
      </c>
      <c r="V414">
        <f>L414*(U414/100)</f>
        <v>1.9803581274638483E-3</v>
      </c>
    </row>
    <row r="415" spans="1:30">
      <c r="A415">
        <v>414</v>
      </c>
      <c r="B415" s="5" t="s">
        <v>33</v>
      </c>
      <c r="C415">
        <v>3</v>
      </c>
      <c r="D415" s="5" t="s">
        <v>30</v>
      </c>
      <c r="E415">
        <v>5</v>
      </c>
      <c r="F415" s="5" t="s">
        <v>25</v>
      </c>
      <c r="G415">
        <v>1.2897000000000001</v>
      </c>
      <c r="H415">
        <v>86.249099999999999</v>
      </c>
      <c r="I415">
        <f>H415-G415</f>
        <v>84.959400000000002</v>
      </c>
      <c r="J415">
        <v>5</v>
      </c>
      <c r="K415">
        <f t="shared" si="341"/>
        <v>57.157143750000003</v>
      </c>
      <c r="L415">
        <f t="shared" si="338"/>
        <v>1.4864178723066441</v>
      </c>
      <c r="M415" s="4"/>
      <c r="N415" s="4"/>
      <c r="O415" s="4"/>
      <c r="P415" s="4"/>
      <c r="Q415" s="4"/>
      <c r="R415" s="4"/>
      <c r="W415">
        <v>0</v>
      </c>
      <c r="X415">
        <v>2.6351</v>
      </c>
      <c r="Y415">
        <v>20.041699999999999</v>
      </c>
      <c r="Z415">
        <v>30.2562</v>
      </c>
      <c r="AA415">
        <v>21.987200000000001</v>
      </c>
      <c r="AB415">
        <v>5.2645</v>
      </c>
      <c r="AC415">
        <v>0.52729999999999999</v>
      </c>
      <c r="AD415">
        <v>0.51980000000000004</v>
      </c>
    </row>
    <row r="416" spans="1:30">
      <c r="A416">
        <v>415</v>
      </c>
      <c r="B416" s="5" t="s">
        <v>33</v>
      </c>
      <c r="C416">
        <v>3</v>
      </c>
      <c r="D416" t="s">
        <v>30</v>
      </c>
      <c r="E416">
        <v>5</v>
      </c>
      <c r="F416" s="5" t="s">
        <v>26</v>
      </c>
      <c r="G416">
        <v>1.2950999999999999</v>
      </c>
      <c r="H416">
        <v>57.848700000000001</v>
      </c>
      <c r="I416">
        <f>H416-G416</f>
        <v>56.553600000000003</v>
      </c>
      <c r="J416">
        <v>5</v>
      </c>
      <c r="K416">
        <f t="shared" si="341"/>
        <v>57.157143750000003</v>
      </c>
      <c r="L416">
        <f t="shared" si="338"/>
        <v>0.98944062438389424</v>
      </c>
      <c r="M416">
        <v>100</v>
      </c>
      <c r="N416">
        <v>40.507300000000001</v>
      </c>
      <c r="O416">
        <v>15.382999999999999</v>
      </c>
      <c r="P416">
        <f t="shared" ref="P416" si="385">O416+N416</f>
        <v>55.890299999999996</v>
      </c>
      <c r="Q416">
        <v>55.867400000000004</v>
      </c>
      <c r="R416">
        <v>55.561399999999999</v>
      </c>
      <c r="S416">
        <f t="shared" ref="S416" si="386">R416-N416</f>
        <v>15.054099999999998</v>
      </c>
      <c r="T416">
        <f t="shared" ref="T416" si="387">((O416-S416)/O416)*100</f>
        <v>2.1380744978222772</v>
      </c>
      <c r="U416">
        <f t="shared" si="345"/>
        <v>0.22522979912891095</v>
      </c>
      <c r="V416">
        <f>L416*(U416/100)</f>
        <v>2.228515130799687E-3</v>
      </c>
    </row>
    <row r="417" spans="1:30">
      <c r="A417">
        <v>416</v>
      </c>
      <c r="B417" s="5" t="s">
        <v>33</v>
      </c>
      <c r="C417">
        <v>3</v>
      </c>
      <c r="D417" s="5" t="s">
        <v>30</v>
      </c>
      <c r="E417">
        <v>5</v>
      </c>
      <c r="F417" s="5" t="s">
        <v>27</v>
      </c>
      <c r="G417">
        <v>1.2684</v>
      </c>
      <c r="H417">
        <v>80.474999999999994</v>
      </c>
      <c r="I417">
        <f>H417-G417</f>
        <v>79.206599999999995</v>
      </c>
      <c r="J417">
        <v>5</v>
      </c>
      <c r="K417">
        <f t="shared" si="341"/>
        <v>57.157143750000003</v>
      </c>
      <c r="L417">
        <f t="shared" si="338"/>
        <v>1.3857690360883366</v>
      </c>
      <c r="M417" s="4"/>
      <c r="N417" s="4"/>
      <c r="O417" s="4"/>
      <c r="P417" s="4"/>
      <c r="Q417" s="4"/>
      <c r="R417" s="4"/>
      <c r="W417">
        <v>0</v>
      </c>
      <c r="X417">
        <v>2.2946</v>
      </c>
      <c r="Y417">
        <v>19.786200000000001</v>
      </c>
      <c r="Z417">
        <v>31.923100000000002</v>
      </c>
      <c r="AA417">
        <v>19.988399999999999</v>
      </c>
      <c r="AB417">
        <v>2.9247999999999998</v>
      </c>
      <c r="AC417">
        <v>0.2656</v>
      </c>
      <c r="AD417">
        <v>0.3967</v>
      </c>
    </row>
    <row r="418" spans="1:30">
      <c r="A418">
        <v>417</v>
      </c>
      <c r="B418" s="5" t="s">
        <v>33</v>
      </c>
      <c r="C418">
        <v>3</v>
      </c>
      <c r="D418" t="s">
        <v>23</v>
      </c>
      <c r="E418">
        <v>6</v>
      </c>
      <c r="F418" s="5" t="s">
        <v>24</v>
      </c>
      <c r="G418">
        <v>1.2966</v>
      </c>
      <c r="H418">
        <v>64.7393</v>
      </c>
      <c r="I418">
        <f>H418-G418</f>
        <v>63.442700000000002</v>
      </c>
      <c r="J418">
        <v>5</v>
      </c>
      <c r="K418">
        <f t="shared" si="341"/>
        <v>57.157143750000003</v>
      </c>
      <c r="L418">
        <f t="shared" si="338"/>
        <v>1.1099697402216673</v>
      </c>
      <c r="M418">
        <v>120</v>
      </c>
      <c r="N418">
        <v>37.716000000000001</v>
      </c>
      <c r="O418">
        <v>15.4557</v>
      </c>
      <c r="P418">
        <f t="shared" ref="P418" si="388">O418+N418</f>
        <v>53.171700000000001</v>
      </c>
      <c r="Q418">
        <v>53.155500000000004</v>
      </c>
      <c r="R418">
        <v>52.8611</v>
      </c>
      <c r="S418">
        <f t="shared" ref="S418" si="389">R418-N418</f>
        <v>15.145099999999999</v>
      </c>
      <c r="T418">
        <f t="shared" ref="T418" si="390">((O418-S418)/O418)*100</f>
        <v>2.0096145758522801</v>
      </c>
      <c r="U418">
        <f t="shared" si="345"/>
        <v>0.17384583034091206</v>
      </c>
      <c r="V418">
        <f>L418*(U418/100)</f>
        <v>1.9296361114212221E-3</v>
      </c>
    </row>
    <row r="419" spans="1:30">
      <c r="A419">
        <v>418</v>
      </c>
      <c r="B419" s="5" t="s">
        <v>33</v>
      </c>
      <c r="C419">
        <v>3</v>
      </c>
      <c r="D419" t="s">
        <v>23</v>
      </c>
      <c r="E419">
        <v>6</v>
      </c>
      <c r="F419" s="5" t="s">
        <v>25</v>
      </c>
      <c r="G419">
        <v>1.2936000000000001</v>
      </c>
      <c r="H419">
        <v>67.172200000000004</v>
      </c>
      <c r="I419">
        <f>H419-G419</f>
        <v>65.878600000000006</v>
      </c>
      <c r="J419">
        <v>5</v>
      </c>
      <c r="K419">
        <f t="shared" si="341"/>
        <v>57.157143750000003</v>
      </c>
      <c r="L419">
        <f t="shared" si="338"/>
        <v>1.1525873351570337</v>
      </c>
      <c r="M419" s="4"/>
      <c r="N419" s="4"/>
      <c r="O419" s="4"/>
      <c r="P419" s="4"/>
      <c r="Q419" s="4"/>
      <c r="R419" s="4"/>
      <c r="W419">
        <v>0</v>
      </c>
      <c r="X419">
        <v>0.32800000000000001</v>
      </c>
      <c r="Y419">
        <v>19.193200000000001</v>
      </c>
      <c r="Z419">
        <v>31.184000000000001</v>
      </c>
      <c r="AA419">
        <v>12.5237</v>
      </c>
      <c r="AB419">
        <v>2.0811999999999999</v>
      </c>
      <c r="AC419">
        <v>0.16059999999999999</v>
      </c>
      <c r="AD419">
        <v>0.1147</v>
      </c>
    </row>
    <row r="420" spans="1:30">
      <c r="A420">
        <v>419</v>
      </c>
      <c r="B420" s="5" t="s">
        <v>33</v>
      </c>
      <c r="C420">
        <v>3</v>
      </c>
      <c r="D420" t="s">
        <v>23</v>
      </c>
      <c r="E420">
        <v>6</v>
      </c>
      <c r="F420" s="5" t="s">
        <v>26</v>
      </c>
      <c r="G420">
        <v>1.2844</v>
      </c>
      <c r="H420">
        <v>50.960900000000002</v>
      </c>
      <c r="I420">
        <f>H420-G420</f>
        <v>49.676500000000004</v>
      </c>
      <c r="J420">
        <v>5</v>
      </c>
      <c r="K420">
        <f t="shared" si="341"/>
        <v>57.157143750000003</v>
      </c>
      <c r="L420">
        <f t="shared" si="338"/>
        <v>0.86912145605596325</v>
      </c>
      <c r="M420">
        <v>209</v>
      </c>
      <c r="N420">
        <v>40.548999999999999</v>
      </c>
      <c r="O420">
        <v>15.1617</v>
      </c>
      <c r="P420">
        <f t="shared" ref="P420" si="391">O420+N420</f>
        <v>55.710700000000003</v>
      </c>
      <c r="Q420">
        <v>55.684899999999999</v>
      </c>
      <c r="R420">
        <v>55.349899999999998</v>
      </c>
      <c r="S420">
        <f t="shared" ref="S420" si="392">R420-N420</f>
        <v>14.800899999999999</v>
      </c>
      <c r="T420">
        <f t="shared" ref="T420" si="393">((O420-S420)/O420)*100</f>
        <v>2.3796803788493448</v>
      </c>
      <c r="U420">
        <f t="shared" si="345"/>
        <v>0.32187215153973792</v>
      </c>
      <c r="V420">
        <f>L420*(U420/100)</f>
        <v>2.7974599301008266E-3</v>
      </c>
    </row>
    <row r="421" spans="1:30">
      <c r="A421">
        <v>420</v>
      </c>
      <c r="B421" s="5" t="s">
        <v>33</v>
      </c>
      <c r="C421">
        <v>3</v>
      </c>
      <c r="D421" t="s">
        <v>23</v>
      </c>
      <c r="E421">
        <v>6</v>
      </c>
      <c r="F421" s="5" t="s">
        <v>27</v>
      </c>
      <c r="G421">
        <v>1.2878000000000001</v>
      </c>
      <c r="H421">
        <v>53.687899999999999</v>
      </c>
      <c r="I421">
        <f>H421-G421</f>
        <v>52.400100000000002</v>
      </c>
      <c r="J421">
        <v>5</v>
      </c>
      <c r="K421">
        <f t="shared" si="341"/>
        <v>57.157143750000003</v>
      </c>
      <c r="L421">
        <f t="shared" si="338"/>
        <v>0.91677254253979401</v>
      </c>
      <c r="M421" s="4"/>
      <c r="N421" s="4"/>
      <c r="O421" s="4"/>
      <c r="P421" s="4"/>
      <c r="Q421" s="4"/>
      <c r="R421" s="4"/>
      <c r="W421">
        <v>0</v>
      </c>
      <c r="X421">
        <v>3.2372000000000001</v>
      </c>
      <c r="Y421">
        <v>17.123100000000001</v>
      </c>
      <c r="Z421">
        <v>15.5341</v>
      </c>
      <c r="AA421">
        <v>11.594200000000001</v>
      </c>
      <c r="AB421">
        <v>3.4981</v>
      </c>
      <c r="AC421">
        <v>0.33739999999999998</v>
      </c>
      <c r="AD421">
        <v>0.31240000000000001</v>
      </c>
    </row>
    <row r="422" spans="1:30">
      <c r="A422">
        <v>421</v>
      </c>
      <c r="B422" s="5" t="s">
        <v>33</v>
      </c>
      <c r="C422">
        <v>3</v>
      </c>
      <c r="D422" t="s">
        <v>28</v>
      </c>
      <c r="E422">
        <v>6</v>
      </c>
      <c r="F422" s="5" t="s">
        <v>24</v>
      </c>
      <c r="G422">
        <v>1.2827999999999999</v>
      </c>
      <c r="H422">
        <v>64.634500000000003</v>
      </c>
      <c r="I422">
        <f>H422-G422</f>
        <v>63.351700000000001</v>
      </c>
      <c r="J422">
        <v>5</v>
      </c>
      <c r="K422">
        <f t="shared" si="341"/>
        <v>57.157143750000003</v>
      </c>
      <c r="L422">
        <f t="shared" si="338"/>
        <v>1.1083776382720314</v>
      </c>
      <c r="M422">
        <v>4</v>
      </c>
      <c r="N422">
        <v>37.549199999999999</v>
      </c>
      <c r="O422">
        <v>15.4316</v>
      </c>
      <c r="P422">
        <f t="shared" ref="P422" si="394">O422+N422</f>
        <v>52.980800000000002</v>
      </c>
      <c r="Q422">
        <v>52.9664</v>
      </c>
      <c r="R422">
        <v>52.653599999999997</v>
      </c>
      <c r="S422">
        <f t="shared" ref="S422" si="395">R422-N422</f>
        <v>15.104399999999998</v>
      </c>
      <c r="T422">
        <f t="shared" ref="T422" si="396">((O422-S422)/O422)*100</f>
        <v>2.1203245288887818</v>
      </c>
      <c r="U422">
        <f t="shared" si="345"/>
        <v>0.2181298115555127</v>
      </c>
      <c r="V422">
        <f>L422*(U422/100)</f>
        <v>2.4177020536862242E-3</v>
      </c>
    </row>
    <row r="423" spans="1:30">
      <c r="A423">
        <v>422</v>
      </c>
      <c r="B423" s="5" t="s">
        <v>33</v>
      </c>
      <c r="C423">
        <v>3</v>
      </c>
      <c r="D423" t="s">
        <v>28</v>
      </c>
      <c r="E423">
        <v>6</v>
      </c>
      <c r="F423" s="5" t="s">
        <v>25</v>
      </c>
      <c r="G423">
        <v>1.2836000000000001</v>
      </c>
      <c r="H423">
        <v>61.975499999999997</v>
      </c>
      <c r="I423">
        <f>H423-G423</f>
        <v>60.691899999999997</v>
      </c>
      <c r="J423">
        <v>5</v>
      </c>
      <c r="K423">
        <f t="shared" si="341"/>
        <v>57.157143750000003</v>
      </c>
      <c r="L423">
        <f t="shared" si="338"/>
        <v>1.0618427727155277</v>
      </c>
      <c r="M423" s="4"/>
      <c r="N423" s="4"/>
      <c r="O423" s="4"/>
      <c r="P423" s="4"/>
      <c r="Q423" s="4"/>
      <c r="R423" s="4"/>
      <c r="W423">
        <v>0</v>
      </c>
      <c r="X423">
        <v>0.3342</v>
      </c>
      <c r="Y423">
        <v>15.2719</v>
      </c>
      <c r="Z423">
        <v>23.363199999999999</v>
      </c>
      <c r="AA423">
        <v>16.400300000000001</v>
      </c>
      <c r="AB423">
        <v>4.0256999999999996</v>
      </c>
      <c r="AC423">
        <v>0.36370000000000002</v>
      </c>
      <c r="AD423">
        <v>0.32750000000000001</v>
      </c>
    </row>
    <row r="424" spans="1:30">
      <c r="A424">
        <v>423</v>
      </c>
      <c r="B424" s="5" t="s">
        <v>33</v>
      </c>
      <c r="C424">
        <v>3</v>
      </c>
      <c r="D424" t="s">
        <v>28</v>
      </c>
      <c r="E424">
        <v>6</v>
      </c>
      <c r="F424" s="5" t="s">
        <v>26</v>
      </c>
      <c r="G424">
        <v>1.2887999999999999</v>
      </c>
      <c r="H424">
        <v>68.114400000000003</v>
      </c>
      <c r="I424">
        <f>H424-G424</f>
        <v>66.825600000000009</v>
      </c>
      <c r="J424">
        <v>5</v>
      </c>
      <c r="K424">
        <f t="shared" si="341"/>
        <v>57.157143750000003</v>
      </c>
      <c r="L424">
        <f t="shared" si="338"/>
        <v>1.1691556928087401</v>
      </c>
      <c r="M424">
        <v>3</v>
      </c>
      <c r="N424">
        <v>37.935099999999998</v>
      </c>
      <c r="O424">
        <v>15.809699999999999</v>
      </c>
      <c r="P424">
        <f t="shared" ref="P424" si="397">O424+N424</f>
        <v>53.744799999999998</v>
      </c>
      <c r="Q424">
        <v>53.726599999999998</v>
      </c>
      <c r="R424">
        <v>53.411200000000001</v>
      </c>
      <c r="S424">
        <f t="shared" ref="S424" si="398">R424-N424</f>
        <v>15.476100000000002</v>
      </c>
      <c r="T424">
        <f t="shared" ref="T424" si="399">((O424-S424)/O424)*100</f>
        <v>2.1100969657868083</v>
      </c>
      <c r="U424">
        <f t="shared" si="345"/>
        <v>0.21403878631472339</v>
      </c>
      <c r="V424">
        <f>L424*(U424/100)</f>
        <v>2.5024466550173231E-3</v>
      </c>
    </row>
    <row r="425" spans="1:30">
      <c r="A425">
        <v>424</v>
      </c>
      <c r="B425" s="5" t="s">
        <v>33</v>
      </c>
      <c r="C425">
        <v>3</v>
      </c>
      <c r="D425" t="s">
        <v>28</v>
      </c>
      <c r="E425">
        <v>6</v>
      </c>
      <c r="F425" s="5" t="s">
        <v>27</v>
      </c>
      <c r="G425">
        <v>1.2864</v>
      </c>
      <c r="H425">
        <v>54.635899999999999</v>
      </c>
      <c r="I425">
        <f>H425-G425</f>
        <v>53.349499999999999</v>
      </c>
      <c r="J425">
        <v>5</v>
      </c>
      <c r="K425">
        <f t="shared" si="341"/>
        <v>57.157143750000003</v>
      </c>
      <c r="L425">
        <f t="shared" si="338"/>
        <v>0.93338288969346894</v>
      </c>
      <c r="M425" s="4"/>
      <c r="N425" s="4"/>
      <c r="O425" s="4"/>
      <c r="P425" s="4"/>
      <c r="Q425" s="4"/>
      <c r="R425" s="4"/>
      <c r="W425">
        <v>0</v>
      </c>
      <c r="X425">
        <v>0.59289999999999998</v>
      </c>
      <c r="Y425">
        <v>19.9863</v>
      </c>
      <c r="Z425">
        <v>24.244499999999999</v>
      </c>
      <c r="AA425">
        <v>14.3344</v>
      </c>
      <c r="AB425">
        <v>2.4279000000000002</v>
      </c>
      <c r="AC425">
        <v>0.18160000000000001</v>
      </c>
      <c r="AD425">
        <v>0.19350000000000001</v>
      </c>
    </row>
    <row r="426" spans="1:30">
      <c r="A426">
        <v>425</v>
      </c>
      <c r="B426" s="5" t="s">
        <v>33</v>
      </c>
      <c r="C426">
        <v>3</v>
      </c>
      <c r="D426" t="s">
        <v>29</v>
      </c>
      <c r="E426">
        <v>6</v>
      </c>
      <c r="F426" s="5" t="s">
        <v>24</v>
      </c>
      <c r="G426">
        <v>1.2827999999999999</v>
      </c>
      <c r="H426">
        <v>86.601600000000005</v>
      </c>
      <c r="I426">
        <f>H426-G426</f>
        <v>85.31880000000001</v>
      </c>
      <c r="J426">
        <v>5</v>
      </c>
      <c r="K426">
        <f t="shared" si="341"/>
        <v>57.157143750000003</v>
      </c>
      <c r="L426">
        <f t="shared" si="338"/>
        <v>1.4927058002264153</v>
      </c>
      <c r="M426">
        <v>103</v>
      </c>
      <c r="N426">
        <v>38.908799999999999</v>
      </c>
      <c r="O426">
        <v>15.31</v>
      </c>
      <c r="P426">
        <f t="shared" ref="P426" si="400">O426+N426</f>
        <v>54.218800000000002</v>
      </c>
      <c r="Q426">
        <v>54.205300000000001</v>
      </c>
      <c r="R426">
        <v>53.921599999999998</v>
      </c>
      <c r="S426">
        <f t="shared" ref="S426" si="401">R426-N426</f>
        <v>15.012799999999999</v>
      </c>
      <c r="T426">
        <f t="shared" ref="T426" si="402">((O426-S426)/O426)*100</f>
        <v>1.9412148922273147</v>
      </c>
      <c r="U426">
        <f t="shared" si="345"/>
        <v>0.14648595689092592</v>
      </c>
      <c r="V426">
        <f>L426*(U426/100)</f>
        <v>2.1866043750280173E-3</v>
      </c>
    </row>
    <row r="427" spans="1:30">
      <c r="A427">
        <v>426</v>
      </c>
      <c r="B427" s="5" t="s">
        <v>33</v>
      </c>
      <c r="C427">
        <v>3</v>
      </c>
      <c r="D427" s="5" t="s">
        <v>29</v>
      </c>
      <c r="E427">
        <v>6</v>
      </c>
      <c r="F427" s="5" t="s">
        <v>25</v>
      </c>
      <c r="G427">
        <v>1.2912999999999999</v>
      </c>
      <c r="H427">
        <v>78.966399999999993</v>
      </c>
      <c r="I427">
        <f>H427-G427</f>
        <v>77.675099999999986</v>
      </c>
      <c r="J427">
        <v>5</v>
      </c>
      <c r="K427">
        <f t="shared" si="341"/>
        <v>57.157143750000003</v>
      </c>
      <c r="L427">
        <f t="shared" si="338"/>
        <v>1.3589744851447372</v>
      </c>
      <c r="M427" s="4"/>
      <c r="N427" s="4"/>
      <c r="O427" s="4"/>
      <c r="P427" s="4"/>
      <c r="Q427" s="4"/>
      <c r="R427" s="4"/>
      <c r="W427">
        <v>0</v>
      </c>
      <c r="X427">
        <v>0.43669999999999998</v>
      </c>
      <c r="Y427">
        <v>14.9656</v>
      </c>
      <c r="Z427">
        <v>31.189599999999999</v>
      </c>
      <c r="AA427">
        <v>24.04</v>
      </c>
      <c r="AB427">
        <v>5.4610000000000003</v>
      </c>
      <c r="AC427">
        <v>0.443</v>
      </c>
      <c r="AD427">
        <v>0.48670000000000002</v>
      </c>
    </row>
    <row r="428" spans="1:30">
      <c r="A428">
        <v>427</v>
      </c>
      <c r="B428" s="5" t="s">
        <v>33</v>
      </c>
      <c r="C428">
        <v>3</v>
      </c>
      <c r="D428" t="s">
        <v>29</v>
      </c>
      <c r="E428">
        <v>6</v>
      </c>
      <c r="F428" s="5" t="s">
        <v>26</v>
      </c>
      <c r="G428">
        <v>1.2789999999999999</v>
      </c>
      <c r="H428">
        <v>81.019800000000004</v>
      </c>
      <c r="I428">
        <f>H428-G428</f>
        <v>79.740800000000007</v>
      </c>
      <c r="J428">
        <v>5</v>
      </c>
      <c r="K428">
        <f t="shared" si="341"/>
        <v>57.157143750000003</v>
      </c>
      <c r="L428">
        <f t="shared" si="338"/>
        <v>1.3951151994014748</v>
      </c>
      <c r="M428">
        <v>202</v>
      </c>
      <c r="N428">
        <v>39.373899999999999</v>
      </c>
      <c r="O428">
        <v>15.5067</v>
      </c>
      <c r="P428">
        <f t="shared" ref="P428" si="403">O428+N428</f>
        <v>54.880600000000001</v>
      </c>
      <c r="Q428">
        <v>54.8675</v>
      </c>
      <c r="R428">
        <v>54.582500000000003</v>
      </c>
      <c r="S428">
        <f t="shared" ref="S428" si="404">R428-N428</f>
        <v>15.208600000000004</v>
      </c>
      <c r="T428">
        <f t="shared" ref="T428" si="405">((O428-S428)/O428)*100</f>
        <v>1.9223948357806382</v>
      </c>
      <c r="U428">
        <f t="shared" si="345"/>
        <v>0.13895793431225534</v>
      </c>
      <c r="V428">
        <f>L428*(U428/100)</f>
        <v>1.9386232623645912E-3</v>
      </c>
    </row>
    <row r="429" spans="1:30">
      <c r="A429">
        <v>428</v>
      </c>
      <c r="B429" s="5" t="s">
        <v>33</v>
      </c>
      <c r="C429">
        <v>3</v>
      </c>
      <c r="D429" s="5" t="s">
        <v>29</v>
      </c>
      <c r="E429">
        <v>6</v>
      </c>
      <c r="F429" s="5" t="s">
        <v>27</v>
      </c>
      <c r="G429">
        <v>1.2899</v>
      </c>
      <c r="H429">
        <v>75.223399999999998</v>
      </c>
      <c r="I429">
        <f>H429-G429</f>
        <v>73.933499999999995</v>
      </c>
      <c r="J429">
        <v>5</v>
      </c>
      <c r="K429">
        <f t="shared" si="341"/>
        <v>57.157143750000003</v>
      </c>
      <c r="L429">
        <f t="shared" si="338"/>
        <v>1.2935128515759675</v>
      </c>
      <c r="M429" s="4"/>
      <c r="N429" s="4"/>
      <c r="O429" s="4"/>
      <c r="P429" s="4"/>
      <c r="Q429" s="4"/>
      <c r="R429" s="4"/>
      <c r="W429">
        <v>0</v>
      </c>
      <c r="X429">
        <v>0.5837</v>
      </c>
      <c r="Y429">
        <v>18.200099999999999</v>
      </c>
      <c r="Z429">
        <v>31.8658</v>
      </c>
      <c r="AA429">
        <v>18.3443</v>
      </c>
      <c r="AB429">
        <v>3.2875999999999999</v>
      </c>
      <c r="AC429">
        <v>0.3629</v>
      </c>
      <c r="AD429">
        <v>0.59989999999999999</v>
      </c>
    </row>
    <row r="430" spans="1:30">
      <c r="A430">
        <v>429</v>
      </c>
      <c r="B430" s="5" t="s">
        <v>33</v>
      </c>
      <c r="C430">
        <v>3</v>
      </c>
      <c r="D430" t="s">
        <v>30</v>
      </c>
      <c r="E430">
        <v>6</v>
      </c>
      <c r="F430" s="5" t="s">
        <v>24</v>
      </c>
      <c r="G430">
        <v>1.2822</v>
      </c>
      <c r="H430">
        <v>75.5291</v>
      </c>
      <c r="I430">
        <f>H430-G430</f>
        <v>74.246899999999997</v>
      </c>
      <c r="J430">
        <v>5</v>
      </c>
      <c r="K430">
        <f t="shared" si="341"/>
        <v>57.157143750000003</v>
      </c>
      <c r="L430">
        <f t="shared" si="338"/>
        <v>1.2989959807080107</v>
      </c>
      <c r="M430">
        <v>301</v>
      </c>
      <c r="N430">
        <v>38.754399999999997</v>
      </c>
      <c r="O430">
        <v>15.2906</v>
      </c>
      <c r="P430">
        <f t="shared" ref="P430" si="406">O430+N430</f>
        <v>54.044999999999995</v>
      </c>
      <c r="Q430">
        <v>54.034399999999998</v>
      </c>
      <c r="R430">
        <v>53.755800000000001</v>
      </c>
      <c r="S430">
        <f t="shared" ref="S430" si="407">R430-N430</f>
        <v>15.001400000000004</v>
      </c>
      <c r="T430">
        <f t="shared" ref="T430" si="408">((O430-S430)/O430)*100</f>
        <v>1.891358089283584</v>
      </c>
      <c r="U430">
        <f t="shared" si="345"/>
        <v>0.12654323571343362</v>
      </c>
      <c r="V430">
        <f>L430*(U430/100)</f>
        <v>1.6437915457753667E-3</v>
      </c>
    </row>
    <row r="431" spans="1:30">
      <c r="A431">
        <v>430</v>
      </c>
      <c r="B431" s="5" t="s">
        <v>33</v>
      </c>
      <c r="C431">
        <v>3</v>
      </c>
      <c r="D431" s="5" t="s">
        <v>30</v>
      </c>
      <c r="E431">
        <v>6</v>
      </c>
      <c r="F431" s="5" t="s">
        <v>25</v>
      </c>
      <c r="G431">
        <v>1.2776000000000001</v>
      </c>
      <c r="H431">
        <v>80.542000000000002</v>
      </c>
      <c r="I431">
        <f>H431-G431</f>
        <v>79.264399999999995</v>
      </c>
      <c r="J431">
        <v>5</v>
      </c>
      <c r="K431">
        <f t="shared" si="341"/>
        <v>57.157143750000003</v>
      </c>
      <c r="L431">
        <f t="shared" si="338"/>
        <v>1.3867802832607428</v>
      </c>
      <c r="M431" s="4"/>
      <c r="N431" s="4"/>
      <c r="O431" s="4"/>
      <c r="P431" s="4"/>
      <c r="Q431" s="4"/>
      <c r="R431" s="4"/>
      <c r="W431">
        <v>0</v>
      </c>
      <c r="X431">
        <v>0.12139999999999999</v>
      </c>
      <c r="Y431">
        <v>15.1572</v>
      </c>
      <c r="Z431">
        <v>30.9513</v>
      </c>
      <c r="AA431">
        <v>25.548999999999999</v>
      </c>
      <c r="AB431">
        <v>6.3089000000000004</v>
      </c>
      <c r="AC431">
        <v>0.37109999999999999</v>
      </c>
      <c r="AD431">
        <v>0.2215</v>
      </c>
    </row>
    <row r="432" spans="1:30">
      <c r="A432">
        <v>431</v>
      </c>
      <c r="B432" s="5" t="s">
        <v>33</v>
      </c>
      <c r="C432">
        <v>3</v>
      </c>
      <c r="D432" t="s">
        <v>30</v>
      </c>
      <c r="E432">
        <v>6</v>
      </c>
      <c r="F432" s="5" t="s">
        <v>26</v>
      </c>
      <c r="G432">
        <v>1.2769999999999999</v>
      </c>
      <c r="H432">
        <v>76.493799999999993</v>
      </c>
      <c r="I432">
        <f>H432-G432</f>
        <v>75.216799999999992</v>
      </c>
      <c r="J432">
        <v>5</v>
      </c>
      <c r="K432">
        <f t="shared" si="341"/>
        <v>57.157143750000003</v>
      </c>
      <c r="L432">
        <f t="shared" si="338"/>
        <v>1.3159649881909992</v>
      </c>
      <c r="M432">
        <v>175</v>
      </c>
      <c r="N432">
        <v>40.466000000000001</v>
      </c>
      <c r="O432">
        <v>15.419600000000001</v>
      </c>
      <c r="P432">
        <f t="shared" ref="P432" si="409">O432+N432</f>
        <v>55.885600000000004</v>
      </c>
      <c r="Q432">
        <v>55.872999999999998</v>
      </c>
      <c r="R432">
        <v>55.572699999999998</v>
      </c>
      <c r="S432">
        <f t="shared" ref="S432" si="410">R432-N432</f>
        <v>15.106699999999996</v>
      </c>
      <c r="T432">
        <f t="shared" ref="T432" si="411">((O432-S432)/O432)*100</f>
        <v>2.0292355184311162</v>
      </c>
      <c r="U432">
        <f t="shared" si="345"/>
        <v>0.18169420737244646</v>
      </c>
      <c r="V432">
        <f>L432*(U432/100)</f>
        <v>2.3910321545925449E-3</v>
      </c>
    </row>
    <row r="433" spans="1:30">
      <c r="A433">
        <v>432</v>
      </c>
      <c r="B433" s="5" t="s">
        <v>33</v>
      </c>
      <c r="C433">
        <v>3</v>
      </c>
      <c r="D433" s="5" t="s">
        <v>30</v>
      </c>
      <c r="E433">
        <v>6</v>
      </c>
      <c r="F433" s="5" t="s">
        <v>27</v>
      </c>
      <c r="G433">
        <v>1.2802</v>
      </c>
      <c r="H433">
        <v>73.605099999999993</v>
      </c>
      <c r="I433">
        <f>H433-G433</f>
        <v>72.3249</v>
      </c>
      <c r="J433">
        <v>5</v>
      </c>
      <c r="K433">
        <f t="shared" si="341"/>
        <v>57.157143750000003</v>
      </c>
      <c r="L433">
        <f t="shared" si="338"/>
        <v>1.2653693878816328</v>
      </c>
      <c r="M433" s="4"/>
      <c r="N433" s="4"/>
      <c r="O433" s="4"/>
      <c r="P433" s="4"/>
      <c r="Q433" s="4"/>
      <c r="R433" s="4"/>
      <c r="W433">
        <v>0</v>
      </c>
      <c r="X433">
        <v>0.61739999999999995</v>
      </c>
      <c r="Y433">
        <v>19.363600000000002</v>
      </c>
      <c r="Z433">
        <v>27.5076</v>
      </c>
      <c r="AA433">
        <v>18.8096</v>
      </c>
      <c r="AB433">
        <v>5.1307</v>
      </c>
      <c r="AC433">
        <v>0.3533</v>
      </c>
      <c r="AD433">
        <v>0.1704</v>
      </c>
    </row>
    <row r="434" spans="1:30" s="15" customFormat="1">
      <c r="A434" s="15">
        <v>433</v>
      </c>
      <c r="B434" s="15" t="s">
        <v>22</v>
      </c>
      <c r="C434" s="15">
        <v>4</v>
      </c>
      <c r="D434" s="15" t="s">
        <v>23</v>
      </c>
      <c r="E434" s="15">
        <v>7</v>
      </c>
      <c r="F434" s="15" t="s">
        <v>24</v>
      </c>
      <c r="G434" s="15">
        <v>1.2867</v>
      </c>
      <c r="I434" s="15">
        <f>H434-G434</f>
        <v>-1.2867</v>
      </c>
      <c r="J434" s="15">
        <v>5</v>
      </c>
      <c r="K434" s="15">
        <f t="shared" si="341"/>
        <v>57.157143750000003</v>
      </c>
      <c r="L434" s="15">
        <f t="shared" si="338"/>
        <v>-2.2511621742820204E-2</v>
      </c>
      <c r="S434" s="15">
        <f t="shared" ref="S434" si="412">R434-N434</f>
        <v>0</v>
      </c>
      <c r="T434" s="15" t="e">
        <f t="shared" ref="T434" si="413">((O434-S434)/O434)*100</f>
        <v>#DIV/0!</v>
      </c>
      <c r="U434" s="15" t="e">
        <f t="shared" si="345"/>
        <v>#DIV/0!</v>
      </c>
      <c r="V434" s="15" t="e">
        <f>L434*(U434/100)</f>
        <v>#DIV/0!</v>
      </c>
    </row>
    <row r="435" spans="1:30" s="15" customFormat="1">
      <c r="A435" s="15">
        <v>434</v>
      </c>
      <c r="B435" s="15" t="s">
        <v>22</v>
      </c>
      <c r="C435" s="15">
        <v>4</v>
      </c>
      <c r="D435" s="15" t="s">
        <v>23</v>
      </c>
      <c r="E435" s="15">
        <v>7</v>
      </c>
      <c r="F435" s="15" t="s">
        <v>25</v>
      </c>
      <c r="G435" s="15">
        <v>1.2842</v>
      </c>
      <c r="I435" s="15">
        <f>H435-G435</f>
        <v>-1.2842</v>
      </c>
      <c r="J435" s="15">
        <v>5</v>
      </c>
      <c r="K435" s="15">
        <f t="shared" si="341"/>
        <v>57.157143750000003</v>
      </c>
      <c r="L435" s="15">
        <f t="shared" si="338"/>
        <v>-2.2467882678269765E-2</v>
      </c>
      <c r="M435" s="16"/>
      <c r="N435" s="16"/>
      <c r="O435" s="16"/>
      <c r="P435" s="16"/>
      <c r="Q435" s="16"/>
      <c r="R435" s="16"/>
    </row>
    <row r="436" spans="1:30" s="15" customFormat="1">
      <c r="A436" s="15">
        <v>435</v>
      </c>
      <c r="B436" s="15" t="s">
        <v>22</v>
      </c>
      <c r="C436" s="15">
        <v>4</v>
      </c>
      <c r="D436" s="15" t="s">
        <v>23</v>
      </c>
      <c r="E436" s="15">
        <v>7</v>
      </c>
      <c r="F436" s="15" t="s">
        <v>26</v>
      </c>
      <c r="G436" s="15">
        <v>1.2745</v>
      </c>
      <c r="I436" s="15">
        <f>H436-G436</f>
        <v>-1.2745</v>
      </c>
      <c r="J436" s="15">
        <v>5</v>
      </c>
      <c r="K436" s="15">
        <f t="shared" si="341"/>
        <v>57.157143750000003</v>
      </c>
      <c r="L436" s="15">
        <f t="shared" si="338"/>
        <v>-2.229817510781406E-2</v>
      </c>
      <c r="S436" s="15">
        <f t="shared" ref="S436" si="414">R436-N436</f>
        <v>0</v>
      </c>
      <c r="T436" s="15" t="e">
        <f t="shared" ref="T436" si="415">((O436-S436)/O436)*100</f>
        <v>#DIV/0!</v>
      </c>
      <c r="U436" s="15" t="e">
        <f t="shared" si="345"/>
        <v>#DIV/0!</v>
      </c>
      <c r="V436" s="15" t="e">
        <f>L436*(U436/100)</f>
        <v>#DIV/0!</v>
      </c>
    </row>
    <row r="437" spans="1:30" s="15" customFormat="1">
      <c r="A437" s="15">
        <v>436</v>
      </c>
      <c r="B437" s="15" t="s">
        <v>22</v>
      </c>
      <c r="C437" s="15">
        <v>4</v>
      </c>
      <c r="D437" s="15" t="s">
        <v>23</v>
      </c>
      <c r="E437" s="15">
        <v>7</v>
      </c>
      <c r="F437" s="15" t="s">
        <v>27</v>
      </c>
      <c r="G437" s="15">
        <v>1.2861</v>
      </c>
      <c r="I437" s="15">
        <f>H437-G437</f>
        <v>-1.2861</v>
      </c>
      <c r="J437" s="15">
        <v>5</v>
      </c>
      <c r="K437" s="15">
        <f t="shared" si="341"/>
        <v>57.157143750000003</v>
      </c>
      <c r="L437" s="15">
        <f t="shared" si="338"/>
        <v>-2.2501124367328099E-2</v>
      </c>
      <c r="M437" s="16"/>
      <c r="N437" s="16"/>
      <c r="O437" s="16"/>
      <c r="P437" s="16"/>
      <c r="Q437" s="16"/>
      <c r="R437" s="16"/>
    </row>
    <row r="438" spans="1:30" s="15" customFormat="1">
      <c r="A438" s="15">
        <v>437</v>
      </c>
      <c r="B438" s="15" t="s">
        <v>22</v>
      </c>
      <c r="C438" s="15">
        <v>4</v>
      </c>
      <c r="D438" s="15" t="s">
        <v>28</v>
      </c>
      <c r="E438" s="15">
        <v>7</v>
      </c>
      <c r="F438" s="15" t="s">
        <v>24</v>
      </c>
      <c r="G438" s="15">
        <v>1.2784</v>
      </c>
      <c r="I438" s="15">
        <f>H438-G438</f>
        <v>-1.2784</v>
      </c>
      <c r="J438" s="15">
        <v>5</v>
      </c>
      <c r="K438" s="15">
        <f t="shared" si="341"/>
        <v>57.157143750000003</v>
      </c>
      <c r="L438" s="15">
        <f t="shared" si="338"/>
        <v>-2.2366408048512743E-2</v>
      </c>
      <c r="S438" s="15">
        <f t="shared" ref="S438" si="416">R438-N438</f>
        <v>0</v>
      </c>
      <c r="T438" s="15" t="e">
        <f t="shared" ref="T438" si="417">((O438-S438)/O438)*100</f>
        <v>#DIV/0!</v>
      </c>
      <c r="U438" s="15" t="e">
        <f t="shared" si="345"/>
        <v>#DIV/0!</v>
      </c>
      <c r="V438" s="15" t="e">
        <f>L438*(U438/100)</f>
        <v>#DIV/0!</v>
      </c>
    </row>
    <row r="439" spans="1:30" s="15" customFormat="1">
      <c r="A439" s="15">
        <v>438</v>
      </c>
      <c r="B439" s="15" t="s">
        <v>22</v>
      </c>
      <c r="C439" s="15">
        <v>4</v>
      </c>
      <c r="D439" s="15" t="s">
        <v>28</v>
      </c>
      <c r="E439" s="15">
        <v>7</v>
      </c>
      <c r="F439" s="15" t="s">
        <v>25</v>
      </c>
      <c r="G439" s="15">
        <v>1.2929999999999999</v>
      </c>
      <c r="I439" s="15">
        <f>H439-G439</f>
        <v>-1.2929999999999999</v>
      </c>
      <c r="J439" s="15">
        <v>5</v>
      </c>
      <c r="K439" s="15">
        <f t="shared" si="341"/>
        <v>57.157143750000003</v>
      </c>
      <c r="L439" s="15">
        <f t="shared" si="338"/>
        <v>-2.2621844185487312E-2</v>
      </c>
      <c r="M439" s="16"/>
      <c r="N439" s="16"/>
      <c r="O439" s="16"/>
      <c r="P439" s="16"/>
      <c r="Q439" s="16"/>
      <c r="R439" s="16"/>
    </row>
    <row r="440" spans="1:30" s="15" customFormat="1">
      <c r="A440" s="15">
        <v>439</v>
      </c>
      <c r="B440" s="15" t="s">
        <v>22</v>
      </c>
      <c r="C440" s="15">
        <v>4</v>
      </c>
      <c r="D440" s="15" t="s">
        <v>28</v>
      </c>
      <c r="E440" s="15">
        <v>7</v>
      </c>
      <c r="F440" s="15" t="s">
        <v>26</v>
      </c>
      <c r="G440" s="15">
        <v>1.2598</v>
      </c>
      <c r="I440" s="15">
        <f>H440-G440</f>
        <v>-1.2598</v>
      </c>
      <c r="J440" s="15">
        <v>5</v>
      </c>
      <c r="K440" s="15">
        <f t="shared" si="341"/>
        <v>57.157143750000003</v>
      </c>
      <c r="L440" s="15">
        <f t="shared" si="338"/>
        <v>-2.2040989408257477E-2</v>
      </c>
      <c r="S440" s="15">
        <f t="shared" ref="S440" si="418">R440-N440</f>
        <v>0</v>
      </c>
      <c r="T440" s="15" t="e">
        <f t="shared" ref="T440" si="419">((O440-S440)/O440)*100</f>
        <v>#DIV/0!</v>
      </c>
      <c r="U440" s="15" t="e">
        <f t="shared" si="345"/>
        <v>#DIV/0!</v>
      </c>
      <c r="V440" s="15" t="e">
        <f>L440*(U440/100)</f>
        <v>#DIV/0!</v>
      </c>
    </row>
    <row r="441" spans="1:30" s="15" customFormat="1">
      <c r="A441" s="15">
        <v>440</v>
      </c>
      <c r="B441" s="15" t="s">
        <v>22</v>
      </c>
      <c r="C441" s="15">
        <v>4</v>
      </c>
      <c r="D441" s="15" t="s">
        <v>28</v>
      </c>
      <c r="E441" s="15">
        <v>7</v>
      </c>
      <c r="F441" s="15" t="s">
        <v>27</v>
      </c>
      <c r="G441" s="15">
        <v>1.2639</v>
      </c>
      <c r="I441" s="15">
        <f>H441-G441</f>
        <v>-1.2639</v>
      </c>
      <c r="J441" s="15">
        <v>5</v>
      </c>
      <c r="K441" s="15">
        <f t="shared" si="341"/>
        <v>57.157143750000003</v>
      </c>
      <c r="L441" s="15">
        <f t="shared" si="338"/>
        <v>-2.2112721474120196E-2</v>
      </c>
      <c r="M441" s="16"/>
      <c r="N441" s="16"/>
      <c r="O441" s="16"/>
      <c r="P441" s="16"/>
      <c r="Q441" s="16"/>
      <c r="R441" s="16"/>
    </row>
    <row r="442" spans="1:30" s="15" customFormat="1">
      <c r="A442" s="15">
        <v>441</v>
      </c>
      <c r="B442" s="15" t="s">
        <v>22</v>
      </c>
      <c r="C442" s="15">
        <v>4</v>
      </c>
      <c r="D442" s="15" t="s">
        <v>29</v>
      </c>
      <c r="E442" s="15">
        <v>7</v>
      </c>
      <c r="F442" s="15" t="s">
        <v>24</v>
      </c>
      <c r="G442" s="15">
        <v>1.2597</v>
      </c>
      <c r="I442" s="15">
        <f>H442-G442</f>
        <v>-1.2597</v>
      </c>
      <c r="J442" s="15">
        <v>5</v>
      </c>
      <c r="K442" s="15">
        <f t="shared" si="341"/>
        <v>57.157143750000003</v>
      </c>
      <c r="L442" s="15">
        <f t="shared" si="338"/>
        <v>-2.2039239845675459E-2</v>
      </c>
      <c r="S442" s="15">
        <f t="shared" ref="S442" si="420">R442-N442</f>
        <v>0</v>
      </c>
      <c r="T442" s="15" t="e">
        <f t="shared" ref="T442" si="421">((O442-S442)/O442)*100</f>
        <v>#DIV/0!</v>
      </c>
      <c r="U442" s="15" t="e">
        <f t="shared" si="345"/>
        <v>#DIV/0!</v>
      </c>
      <c r="V442" s="15" t="e">
        <f>L442*(U442/100)</f>
        <v>#DIV/0!</v>
      </c>
    </row>
    <row r="443" spans="1:30" s="15" customFormat="1">
      <c r="A443" s="15">
        <v>442</v>
      </c>
      <c r="B443" s="15" t="s">
        <v>22</v>
      </c>
      <c r="C443" s="15">
        <v>4</v>
      </c>
      <c r="D443" s="17" t="s">
        <v>29</v>
      </c>
      <c r="E443" s="15">
        <v>7</v>
      </c>
      <c r="F443" s="15" t="s">
        <v>25</v>
      </c>
      <c r="G443" s="15">
        <v>1.2581</v>
      </c>
      <c r="I443" s="15">
        <f>H443-G443</f>
        <v>-1.2581</v>
      </c>
      <c r="J443" s="15">
        <v>5</v>
      </c>
      <c r="K443" s="15">
        <f t="shared" si="341"/>
        <v>57.157143750000003</v>
      </c>
      <c r="L443" s="15">
        <f t="shared" si="338"/>
        <v>-2.2011246844363175E-2</v>
      </c>
      <c r="M443" s="16"/>
      <c r="N443" s="16"/>
      <c r="O443" s="16"/>
      <c r="P443" s="16"/>
      <c r="Q443" s="16"/>
      <c r="R443" s="16"/>
    </row>
    <row r="444" spans="1:30" s="15" customFormat="1">
      <c r="A444" s="15">
        <v>443</v>
      </c>
      <c r="B444" s="15" t="s">
        <v>22</v>
      </c>
      <c r="C444" s="15">
        <v>4</v>
      </c>
      <c r="D444" s="15" t="s">
        <v>29</v>
      </c>
      <c r="E444" s="15">
        <v>7</v>
      </c>
      <c r="F444" s="15" t="s">
        <v>26</v>
      </c>
      <c r="G444" s="15">
        <v>1.2648999999999999</v>
      </c>
      <c r="I444" s="15">
        <f>H444-G444</f>
        <v>-1.2648999999999999</v>
      </c>
      <c r="J444" s="15">
        <v>5</v>
      </c>
      <c r="K444" s="15">
        <f t="shared" si="341"/>
        <v>57.157143750000003</v>
      </c>
      <c r="L444" s="15">
        <f t="shared" si="338"/>
        <v>-2.2130217099940369E-2</v>
      </c>
      <c r="S444" s="15">
        <f t="shared" ref="S444" si="422">R444-N444</f>
        <v>0</v>
      </c>
      <c r="T444" s="15" t="e">
        <f t="shared" ref="T444" si="423">((O444-S444)/O444)*100</f>
        <v>#DIV/0!</v>
      </c>
      <c r="U444" s="15" t="e">
        <f t="shared" si="345"/>
        <v>#DIV/0!</v>
      </c>
      <c r="V444" s="15" t="e">
        <f>L444*(U444/100)</f>
        <v>#DIV/0!</v>
      </c>
    </row>
    <row r="445" spans="1:30" s="15" customFormat="1">
      <c r="A445" s="15">
        <v>444</v>
      </c>
      <c r="B445" s="15" t="s">
        <v>22</v>
      </c>
      <c r="C445" s="15">
        <v>4</v>
      </c>
      <c r="D445" s="17" t="s">
        <v>29</v>
      </c>
      <c r="E445" s="15">
        <v>7</v>
      </c>
      <c r="F445" s="15" t="s">
        <v>27</v>
      </c>
      <c r="G445" s="15">
        <v>1.2591000000000001</v>
      </c>
      <c r="I445" s="15">
        <f>H445-G445</f>
        <v>-1.2591000000000001</v>
      </c>
      <c r="J445" s="15">
        <v>5</v>
      </c>
      <c r="K445" s="15">
        <f t="shared" si="341"/>
        <v>57.157143750000003</v>
      </c>
      <c r="L445" s="15">
        <f t="shared" si="338"/>
        <v>-2.2028742470183355E-2</v>
      </c>
      <c r="M445" s="16"/>
      <c r="N445" s="16"/>
      <c r="O445" s="16"/>
      <c r="P445" s="16"/>
      <c r="Q445" s="16"/>
      <c r="R445" s="16"/>
    </row>
    <row r="446" spans="1:30" s="15" customFormat="1">
      <c r="A446" s="15">
        <v>445</v>
      </c>
      <c r="B446" s="15" t="s">
        <v>22</v>
      </c>
      <c r="C446" s="15">
        <v>4</v>
      </c>
      <c r="D446" s="15" t="s">
        <v>30</v>
      </c>
      <c r="E446" s="15">
        <v>7</v>
      </c>
      <c r="F446" s="15" t="s">
        <v>24</v>
      </c>
      <c r="G446" s="15">
        <v>1.2714000000000001</v>
      </c>
      <c r="I446" s="15">
        <f>H446-G446</f>
        <v>-1.2714000000000001</v>
      </c>
      <c r="J446" s="15">
        <v>5</v>
      </c>
      <c r="K446" s="15">
        <f t="shared" si="341"/>
        <v>57.157143750000003</v>
      </c>
      <c r="L446" s="15">
        <f t="shared" si="338"/>
        <v>-2.2243938667771516E-2</v>
      </c>
      <c r="S446" s="15">
        <f t="shared" ref="S446" si="424">R446-N446</f>
        <v>0</v>
      </c>
      <c r="T446" s="15" t="e">
        <f t="shared" ref="T446" si="425">((O446-S446)/O446)*100</f>
        <v>#DIV/0!</v>
      </c>
      <c r="U446" s="15" t="e">
        <f t="shared" si="345"/>
        <v>#DIV/0!</v>
      </c>
      <c r="V446" s="15" t="e">
        <f>L446*(U446/100)</f>
        <v>#DIV/0!</v>
      </c>
    </row>
    <row r="447" spans="1:30" s="15" customFormat="1">
      <c r="A447" s="15">
        <v>446</v>
      </c>
      <c r="B447" s="15" t="s">
        <v>22</v>
      </c>
      <c r="C447" s="15">
        <v>4</v>
      </c>
      <c r="D447" s="17" t="s">
        <v>30</v>
      </c>
      <c r="E447" s="15">
        <v>7</v>
      </c>
      <c r="F447" s="15" t="s">
        <v>25</v>
      </c>
      <c r="G447" s="15">
        <v>1.2589999999999999</v>
      </c>
      <c r="I447" s="15">
        <f>H447-G447</f>
        <v>-1.2589999999999999</v>
      </c>
      <c r="J447" s="15">
        <v>5</v>
      </c>
      <c r="K447" s="15">
        <f t="shared" si="341"/>
        <v>57.157143750000003</v>
      </c>
      <c r="L447" s="15">
        <f t="shared" si="338"/>
        <v>-2.2026992907601333E-2</v>
      </c>
      <c r="M447" s="16"/>
      <c r="N447" s="16"/>
      <c r="O447" s="16"/>
      <c r="P447" s="16"/>
      <c r="Q447" s="16"/>
      <c r="R447" s="16"/>
    </row>
    <row r="448" spans="1:30" s="15" customFormat="1">
      <c r="A448" s="15">
        <v>447</v>
      </c>
      <c r="B448" s="15" t="s">
        <v>22</v>
      </c>
      <c r="C448" s="15">
        <v>4</v>
      </c>
      <c r="D448" s="15" t="s">
        <v>30</v>
      </c>
      <c r="E448" s="15">
        <v>7</v>
      </c>
      <c r="F448" s="15" t="s">
        <v>26</v>
      </c>
      <c r="G448" s="15">
        <v>1.2687999999999999</v>
      </c>
      <c r="I448" s="15">
        <f>H448-G448</f>
        <v>-1.2687999999999999</v>
      </c>
      <c r="J448" s="15">
        <v>5</v>
      </c>
      <c r="K448" s="15">
        <f t="shared" si="341"/>
        <v>57.157143750000003</v>
      </c>
      <c r="L448" s="15">
        <f t="shared" si="338"/>
        <v>-2.2198450040639056E-2</v>
      </c>
      <c r="S448" s="15">
        <f t="shared" ref="S448" si="426">R448-N448</f>
        <v>0</v>
      </c>
      <c r="T448" s="15" t="e">
        <f t="shared" ref="T448" si="427">((O448-S448)/O448)*100</f>
        <v>#DIV/0!</v>
      </c>
      <c r="U448" s="15" t="e">
        <f t="shared" si="345"/>
        <v>#DIV/0!</v>
      </c>
      <c r="V448" s="15" t="e">
        <f>L448*(U448/100)</f>
        <v>#DIV/0!</v>
      </c>
    </row>
    <row r="449" spans="1:22" s="15" customFormat="1">
      <c r="A449" s="15">
        <v>448</v>
      </c>
      <c r="B449" s="15" t="s">
        <v>22</v>
      </c>
      <c r="C449" s="15">
        <v>4</v>
      </c>
      <c r="D449" s="17" t="s">
        <v>30</v>
      </c>
      <c r="E449" s="15">
        <v>7</v>
      </c>
      <c r="F449" s="15" t="s">
        <v>27</v>
      </c>
      <c r="G449" s="15">
        <v>1.2633000000000001</v>
      </c>
      <c r="I449" s="15">
        <f>H449-G449</f>
        <v>-1.2633000000000001</v>
      </c>
      <c r="J449" s="15">
        <v>5</v>
      </c>
      <c r="K449" s="15">
        <f t="shared" si="341"/>
        <v>57.157143750000003</v>
      </c>
      <c r="L449" s="15">
        <f t="shared" si="338"/>
        <v>-2.2102224098628092E-2</v>
      </c>
      <c r="M449" s="16"/>
      <c r="N449" s="16"/>
      <c r="O449" s="16"/>
      <c r="P449" s="16"/>
      <c r="Q449" s="16"/>
      <c r="R449" s="16"/>
    </row>
    <row r="450" spans="1:22" s="15" customFormat="1">
      <c r="A450" s="15">
        <v>449</v>
      </c>
      <c r="B450" s="15" t="s">
        <v>22</v>
      </c>
      <c r="C450" s="15">
        <v>4</v>
      </c>
      <c r="D450" s="15" t="s">
        <v>23</v>
      </c>
      <c r="E450" s="15">
        <v>8</v>
      </c>
      <c r="F450" s="17" t="s">
        <v>24</v>
      </c>
      <c r="G450" s="15">
        <v>1.2603</v>
      </c>
      <c r="I450" s="15">
        <f>H450-G450</f>
        <v>-1.2603</v>
      </c>
      <c r="J450" s="15">
        <v>5</v>
      </c>
      <c r="K450" s="15">
        <f t="shared" si="341"/>
        <v>57.157143750000003</v>
      </c>
      <c r="L450" s="15">
        <f t="shared" ref="L450:L513" si="428">I450/K450</f>
        <v>-2.2049737221167563E-2</v>
      </c>
      <c r="S450" s="15">
        <f t="shared" ref="S450" si="429">R450-N450</f>
        <v>0</v>
      </c>
      <c r="T450" s="15" t="e">
        <f t="shared" ref="T450" si="430">((O450-S450)/O450)*100</f>
        <v>#DIV/0!</v>
      </c>
      <c r="U450" s="15" t="e">
        <f t="shared" si="345"/>
        <v>#DIV/0!</v>
      </c>
      <c r="V450" s="15" t="e">
        <f>L450*(U450/100)</f>
        <v>#DIV/0!</v>
      </c>
    </row>
    <row r="451" spans="1:22" s="15" customFormat="1">
      <c r="A451" s="15">
        <v>450</v>
      </c>
      <c r="B451" s="15" t="s">
        <v>22</v>
      </c>
      <c r="C451" s="15">
        <v>4</v>
      </c>
      <c r="D451" s="15" t="s">
        <v>23</v>
      </c>
      <c r="E451" s="15">
        <v>8</v>
      </c>
      <c r="F451" s="17" t="s">
        <v>25</v>
      </c>
      <c r="G451" s="15">
        <v>1.2626999999999999</v>
      </c>
      <c r="I451" s="15">
        <f>H451-G451</f>
        <v>-1.2626999999999999</v>
      </c>
      <c r="J451" s="15">
        <v>5</v>
      </c>
      <c r="K451" s="15">
        <f t="shared" ref="K451:K514" si="431">0.25*3.15*((7.62/2)^2)*J451</f>
        <v>57.157143750000003</v>
      </c>
      <c r="L451" s="15">
        <f t="shared" si="428"/>
        <v>-2.2091726723135984E-2</v>
      </c>
      <c r="M451" s="16"/>
      <c r="N451" s="16"/>
      <c r="O451" s="16"/>
      <c r="P451" s="16"/>
      <c r="Q451" s="16"/>
      <c r="R451" s="16"/>
    </row>
    <row r="452" spans="1:22" s="15" customFormat="1">
      <c r="A452" s="15">
        <v>451</v>
      </c>
      <c r="B452" s="15" t="s">
        <v>22</v>
      </c>
      <c r="C452" s="15">
        <v>4</v>
      </c>
      <c r="D452" s="15" t="s">
        <v>23</v>
      </c>
      <c r="E452" s="15">
        <v>8</v>
      </c>
      <c r="F452" s="17" t="s">
        <v>26</v>
      </c>
      <c r="G452" s="15">
        <v>1.2494000000000001</v>
      </c>
      <c r="I452" s="15">
        <f>H452-G452</f>
        <v>-1.2494000000000001</v>
      </c>
      <c r="J452" s="15">
        <v>5</v>
      </c>
      <c r="K452" s="15">
        <f t="shared" si="431"/>
        <v>57.157143750000003</v>
      </c>
      <c r="L452" s="15">
        <f t="shared" si="428"/>
        <v>-2.1859034899727649E-2</v>
      </c>
      <c r="S452" s="15">
        <f t="shared" ref="S452" si="432">R452-N452</f>
        <v>0</v>
      </c>
      <c r="T452" s="15" t="e">
        <f t="shared" ref="T452" si="433">((O452-S452)/O452)*100</f>
        <v>#DIV/0!</v>
      </c>
      <c r="U452" s="15" t="e">
        <f t="shared" ref="U452:U514" si="434">-0.63+0.4*T452</f>
        <v>#DIV/0!</v>
      </c>
      <c r="V452" s="15" t="e">
        <f>L452*(U452/100)</f>
        <v>#DIV/0!</v>
      </c>
    </row>
    <row r="453" spans="1:22" s="15" customFormat="1">
      <c r="A453" s="15">
        <v>452</v>
      </c>
      <c r="B453" s="15" t="s">
        <v>22</v>
      </c>
      <c r="C453" s="15">
        <v>4</v>
      </c>
      <c r="D453" s="15" t="s">
        <v>23</v>
      </c>
      <c r="E453" s="15">
        <v>8</v>
      </c>
      <c r="F453" s="17" t="s">
        <v>27</v>
      </c>
      <c r="G453" s="15">
        <v>1.2579</v>
      </c>
      <c r="I453" s="15">
        <f>H453-G453</f>
        <v>-1.2579</v>
      </c>
      <c r="J453" s="15">
        <v>5</v>
      </c>
      <c r="K453" s="15">
        <f t="shared" si="431"/>
        <v>57.157143750000003</v>
      </c>
      <c r="L453" s="15">
        <f t="shared" si="428"/>
        <v>-2.2007747719199142E-2</v>
      </c>
      <c r="M453" s="16"/>
      <c r="N453" s="16"/>
      <c r="O453" s="16"/>
      <c r="P453" s="16"/>
      <c r="Q453" s="16"/>
      <c r="R453" s="16"/>
    </row>
    <row r="454" spans="1:22" s="15" customFormat="1">
      <c r="A454" s="15">
        <v>453</v>
      </c>
      <c r="B454" s="15" t="s">
        <v>22</v>
      </c>
      <c r="C454" s="15">
        <v>4</v>
      </c>
      <c r="D454" s="15" t="s">
        <v>28</v>
      </c>
      <c r="E454" s="15">
        <v>8</v>
      </c>
      <c r="F454" s="17" t="s">
        <v>24</v>
      </c>
      <c r="G454" s="15">
        <v>1.268</v>
      </c>
      <c r="I454" s="15">
        <f>H454-G454</f>
        <v>-1.268</v>
      </c>
      <c r="J454" s="15">
        <v>5</v>
      </c>
      <c r="K454" s="15">
        <f t="shared" si="431"/>
        <v>57.157143750000003</v>
      </c>
      <c r="L454" s="15">
        <f t="shared" si="428"/>
        <v>-2.2184453539982916E-2</v>
      </c>
      <c r="S454" s="15">
        <f t="shared" ref="S454" si="435">R454-N454</f>
        <v>0</v>
      </c>
      <c r="T454" s="15" t="e">
        <f t="shared" ref="T454" si="436">((O454-S454)/O454)*100</f>
        <v>#DIV/0!</v>
      </c>
      <c r="U454" s="15" t="e">
        <f t="shared" si="434"/>
        <v>#DIV/0!</v>
      </c>
      <c r="V454" s="15" t="e">
        <f>L454*(U454/100)</f>
        <v>#DIV/0!</v>
      </c>
    </row>
    <row r="455" spans="1:22" s="15" customFormat="1">
      <c r="A455" s="15">
        <v>454</v>
      </c>
      <c r="B455" s="15" t="s">
        <v>22</v>
      </c>
      <c r="C455" s="15">
        <v>4</v>
      </c>
      <c r="D455" s="15" t="s">
        <v>28</v>
      </c>
      <c r="E455" s="15">
        <v>8</v>
      </c>
      <c r="F455" s="17" t="s">
        <v>25</v>
      </c>
      <c r="G455" s="15">
        <v>1.2663</v>
      </c>
      <c r="I455" s="15">
        <f>H455-G455</f>
        <v>-1.2663</v>
      </c>
      <c r="J455" s="15">
        <v>5</v>
      </c>
      <c r="K455" s="15">
        <f t="shared" si="431"/>
        <v>57.157143750000003</v>
      </c>
      <c r="L455" s="15">
        <f t="shared" si="428"/>
        <v>-2.2154710976088617E-2</v>
      </c>
      <c r="M455" s="16"/>
      <c r="N455" s="16"/>
      <c r="O455" s="16"/>
      <c r="P455" s="16"/>
      <c r="Q455" s="16"/>
      <c r="R455" s="16"/>
    </row>
    <row r="456" spans="1:22" s="15" customFormat="1">
      <c r="A456" s="15">
        <v>455</v>
      </c>
      <c r="B456" s="15" t="s">
        <v>22</v>
      </c>
      <c r="C456" s="15">
        <v>4</v>
      </c>
      <c r="D456" s="15" t="s">
        <v>28</v>
      </c>
      <c r="E456" s="15">
        <v>8</v>
      </c>
      <c r="F456" s="17" t="s">
        <v>26</v>
      </c>
      <c r="G456" s="15">
        <v>1.2629999999999999</v>
      </c>
      <c r="I456" s="15">
        <f>H456-G456</f>
        <v>-1.2629999999999999</v>
      </c>
      <c r="J456" s="15">
        <v>5</v>
      </c>
      <c r="K456" s="15">
        <f t="shared" si="431"/>
        <v>57.157143750000003</v>
      </c>
      <c r="L456" s="15">
        <f t="shared" si="428"/>
        <v>-2.2096975410882035E-2</v>
      </c>
      <c r="S456" s="15">
        <f t="shared" ref="S456" si="437">R456-N456</f>
        <v>0</v>
      </c>
      <c r="T456" s="15" t="e">
        <f t="shared" ref="T456" si="438">((O456-S456)/O456)*100</f>
        <v>#DIV/0!</v>
      </c>
      <c r="U456" s="15" t="e">
        <f t="shared" si="434"/>
        <v>#DIV/0!</v>
      </c>
      <c r="V456" s="15" t="e">
        <f>L456*(U456/100)</f>
        <v>#DIV/0!</v>
      </c>
    </row>
    <row r="457" spans="1:22" s="15" customFormat="1">
      <c r="A457" s="15">
        <v>456</v>
      </c>
      <c r="B457" s="15" t="s">
        <v>22</v>
      </c>
      <c r="C457" s="15">
        <v>4</v>
      </c>
      <c r="D457" s="15" t="s">
        <v>28</v>
      </c>
      <c r="E457" s="15">
        <v>8</v>
      </c>
      <c r="F457" s="17" t="s">
        <v>27</v>
      </c>
      <c r="G457" s="15">
        <v>1.2689999999999999</v>
      </c>
      <c r="I457" s="15">
        <f>H457-G457</f>
        <v>-1.2689999999999999</v>
      </c>
      <c r="J457" s="15">
        <v>5</v>
      </c>
      <c r="K457" s="15">
        <f t="shared" si="431"/>
        <v>57.157143750000003</v>
      </c>
      <c r="L457" s="15">
        <f t="shared" si="428"/>
        <v>-2.2201949165803092E-2</v>
      </c>
      <c r="M457" s="16"/>
      <c r="N457" s="16"/>
      <c r="O457" s="16"/>
      <c r="P457" s="16"/>
      <c r="Q457" s="16"/>
      <c r="R457" s="16"/>
    </row>
    <row r="458" spans="1:22" s="15" customFormat="1">
      <c r="A458" s="15">
        <v>457</v>
      </c>
      <c r="B458" s="15" t="s">
        <v>22</v>
      </c>
      <c r="C458" s="15">
        <v>4</v>
      </c>
      <c r="D458" s="15" t="s">
        <v>29</v>
      </c>
      <c r="E458" s="15">
        <v>8</v>
      </c>
      <c r="F458" s="17" t="s">
        <v>24</v>
      </c>
      <c r="G458" s="15">
        <v>1.2756000000000001</v>
      </c>
      <c r="I458" s="15">
        <f>H458-G458</f>
        <v>-1.2756000000000001</v>
      </c>
      <c r="J458" s="15">
        <v>5</v>
      </c>
      <c r="K458" s="15">
        <f t="shared" si="431"/>
        <v>57.157143750000003</v>
      </c>
      <c r="L458" s="15">
        <f t="shared" si="428"/>
        <v>-2.2317420296216254E-2</v>
      </c>
      <c r="S458" s="15">
        <f t="shared" ref="S458" si="439">R458-N458</f>
        <v>0</v>
      </c>
      <c r="T458" s="15" t="e">
        <f t="shared" ref="T458" si="440">((O458-S458)/O458)*100</f>
        <v>#DIV/0!</v>
      </c>
      <c r="U458" s="15" t="e">
        <f t="shared" si="434"/>
        <v>#DIV/0!</v>
      </c>
      <c r="V458" s="15" t="e">
        <f>L458*(U458/100)</f>
        <v>#DIV/0!</v>
      </c>
    </row>
    <row r="459" spans="1:22" s="15" customFormat="1">
      <c r="A459" s="15">
        <v>458</v>
      </c>
      <c r="B459" s="15" t="s">
        <v>22</v>
      </c>
      <c r="C459" s="15">
        <v>4</v>
      </c>
      <c r="D459" s="17" t="s">
        <v>29</v>
      </c>
      <c r="E459" s="15">
        <v>8</v>
      </c>
      <c r="F459" s="17" t="s">
        <v>25</v>
      </c>
      <c r="G459" s="15">
        <v>1.2730999999999999</v>
      </c>
      <c r="I459" s="15">
        <f>H459-G459</f>
        <v>-1.2730999999999999</v>
      </c>
      <c r="J459" s="15">
        <v>5</v>
      </c>
      <c r="K459" s="15">
        <f t="shared" si="431"/>
        <v>57.157143750000003</v>
      </c>
      <c r="L459" s="15">
        <f t="shared" si="428"/>
        <v>-2.2273681231665812E-2</v>
      </c>
      <c r="M459" s="16"/>
      <c r="N459" s="16"/>
      <c r="O459" s="16"/>
      <c r="P459" s="16"/>
      <c r="Q459" s="16"/>
      <c r="R459" s="16"/>
    </row>
    <row r="460" spans="1:22" s="15" customFormat="1">
      <c r="A460" s="15">
        <v>459</v>
      </c>
      <c r="B460" s="15" t="s">
        <v>22</v>
      </c>
      <c r="C460" s="15">
        <v>4</v>
      </c>
      <c r="D460" s="15" t="s">
        <v>29</v>
      </c>
      <c r="E460" s="15">
        <v>8</v>
      </c>
      <c r="F460" s="17" t="s">
        <v>26</v>
      </c>
      <c r="G460" s="15">
        <v>1.2708999999999999</v>
      </c>
      <c r="I460" s="15">
        <f>H460-G460</f>
        <v>-1.2708999999999999</v>
      </c>
      <c r="J460" s="15">
        <v>5</v>
      </c>
      <c r="K460" s="15">
        <f t="shared" si="431"/>
        <v>57.157143750000003</v>
      </c>
      <c r="L460" s="15">
        <f t="shared" si="428"/>
        <v>-2.2235190854861427E-2</v>
      </c>
      <c r="S460" s="15">
        <f t="shared" ref="S460" si="441">R460-N460</f>
        <v>0</v>
      </c>
      <c r="T460" s="15" t="e">
        <f t="shared" ref="T460" si="442">((O460-S460)/O460)*100</f>
        <v>#DIV/0!</v>
      </c>
      <c r="U460" s="15" t="e">
        <f t="shared" si="434"/>
        <v>#DIV/0!</v>
      </c>
      <c r="V460" s="15" t="e">
        <f>L460*(U460/100)</f>
        <v>#DIV/0!</v>
      </c>
    </row>
    <row r="461" spans="1:22" s="15" customFormat="1">
      <c r="A461" s="15">
        <v>460</v>
      </c>
      <c r="B461" s="15" t="s">
        <v>22</v>
      </c>
      <c r="C461" s="15">
        <v>4</v>
      </c>
      <c r="D461" s="17" t="s">
        <v>29</v>
      </c>
      <c r="E461" s="15">
        <v>8</v>
      </c>
      <c r="F461" s="17" t="s">
        <v>27</v>
      </c>
      <c r="G461" s="15">
        <v>1.2670999999999999</v>
      </c>
      <c r="I461" s="15">
        <f>H461-G461</f>
        <v>-1.2670999999999999</v>
      </c>
      <c r="J461" s="15">
        <v>5</v>
      </c>
      <c r="K461" s="15">
        <f t="shared" si="431"/>
        <v>57.157143750000003</v>
      </c>
      <c r="L461" s="15">
        <f t="shared" si="428"/>
        <v>-2.2168707476744758E-2</v>
      </c>
      <c r="M461" s="16"/>
      <c r="N461" s="16"/>
      <c r="O461" s="16"/>
      <c r="P461" s="16"/>
      <c r="Q461" s="16"/>
      <c r="R461" s="16"/>
    </row>
    <row r="462" spans="1:22" s="15" customFormat="1">
      <c r="A462" s="15">
        <v>461</v>
      </c>
      <c r="B462" s="15" t="s">
        <v>22</v>
      </c>
      <c r="C462" s="15">
        <v>4</v>
      </c>
      <c r="D462" s="15" t="s">
        <v>30</v>
      </c>
      <c r="E462" s="15">
        <v>8</v>
      </c>
      <c r="F462" s="17" t="s">
        <v>24</v>
      </c>
      <c r="G462" s="15">
        <v>1.2554000000000001</v>
      </c>
      <c r="I462" s="15">
        <f>H462-G462</f>
        <v>-1.2554000000000001</v>
      </c>
      <c r="J462" s="15">
        <v>5</v>
      </c>
      <c r="K462" s="15">
        <f t="shared" si="431"/>
        <v>57.157143750000003</v>
      </c>
      <c r="L462" s="15">
        <f t="shared" si="428"/>
        <v>-2.1964008654648703E-2</v>
      </c>
      <c r="S462" s="15">
        <f t="shared" ref="S462" si="443">R462-N462</f>
        <v>0</v>
      </c>
      <c r="T462" s="15" t="e">
        <f t="shared" ref="T462" si="444">((O462-S462)/O462)*100</f>
        <v>#DIV/0!</v>
      </c>
      <c r="U462" s="15" t="e">
        <f t="shared" si="434"/>
        <v>#DIV/0!</v>
      </c>
      <c r="V462" s="15" t="e">
        <f>L462*(U462/100)</f>
        <v>#DIV/0!</v>
      </c>
    </row>
    <row r="463" spans="1:22" s="15" customFormat="1">
      <c r="A463" s="15">
        <v>462</v>
      </c>
      <c r="B463" s="15" t="s">
        <v>22</v>
      </c>
      <c r="C463" s="15">
        <v>4</v>
      </c>
      <c r="D463" s="17" t="s">
        <v>30</v>
      </c>
      <c r="E463" s="15">
        <v>8</v>
      </c>
      <c r="F463" s="17" t="s">
        <v>25</v>
      </c>
      <c r="G463" s="15">
        <v>1.2605</v>
      </c>
      <c r="I463" s="15">
        <f>H463-G463</f>
        <v>-1.2605</v>
      </c>
      <c r="J463" s="15">
        <v>5</v>
      </c>
      <c r="K463" s="15">
        <f t="shared" si="431"/>
        <v>57.157143750000003</v>
      </c>
      <c r="L463" s="15">
        <f t="shared" si="428"/>
        <v>-2.2053236346331596E-2</v>
      </c>
      <c r="M463" s="16"/>
      <c r="N463" s="16"/>
      <c r="O463" s="16"/>
      <c r="P463" s="16"/>
      <c r="Q463" s="16"/>
      <c r="R463" s="16"/>
    </row>
    <row r="464" spans="1:22" s="15" customFormat="1">
      <c r="A464" s="15">
        <v>463</v>
      </c>
      <c r="B464" s="15" t="s">
        <v>22</v>
      </c>
      <c r="C464" s="15">
        <v>4</v>
      </c>
      <c r="D464" s="15" t="s">
        <v>30</v>
      </c>
      <c r="E464" s="15">
        <v>8</v>
      </c>
      <c r="F464" s="17" t="s">
        <v>26</v>
      </c>
      <c r="G464" s="15">
        <v>1.2617</v>
      </c>
      <c r="I464" s="15">
        <f>H464-G464</f>
        <v>-1.2617</v>
      </c>
      <c r="J464" s="15">
        <v>5</v>
      </c>
      <c r="K464" s="15">
        <f t="shared" si="431"/>
        <v>57.157143750000003</v>
      </c>
      <c r="L464" s="15">
        <f t="shared" si="428"/>
        <v>-2.2074231097315811E-2</v>
      </c>
      <c r="S464" s="15">
        <f t="shared" ref="S464" si="445">R464-N464</f>
        <v>0</v>
      </c>
      <c r="T464" s="15" t="e">
        <f t="shared" ref="T464" si="446">((O464-S464)/O464)*100</f>
        <v>#DIV/0!</v>
      </c>
      <c r="U464" s="15" t="e">
        <f t="shared" si="434"/>
        <v>#DIV/0!</v>
      </c>
      <c r="V464" s="15" t="e">
        <f>L464*(U464/100)</f>
        <v>#DIV/0!</v>
      </c>
    </row>
    <row r="465" spans="1:22" s="15" customFormat="1">
      <c r="A465" s="15">
        <v>464</v>
      </c>
      <c r="B465" s="15" t="s">
        <v>22</v>
      </c>
      <c r="C465" s="15">
        <v>4</v>
      </c>
      <c r="D465" s="17" t="s">
        <v>30</v>
      </c>
      <c r="E465" s="15">
        <v>8</v>
      </c>
      <c r="F465" s="17" t="s">
        <v>27</v>
      </c>
      <c r="G465" s="15">
        <v>1.2653000000000001</v>
      </c>
      <c r="I465" s="15">
        <f>H465-G465</f>
        <v>-1.2653000000000001</v>
      </c>
      <c r="J465" s="15">
        <v>5</v>
      </c>
      <c r="K465" s="15">
        <f t="shared" si="431"/>
        <v>57.157143750000003</v>
      </c>
      <c r="L465" s="15">
        <f t="shared" si="428"/>
        <v>-2.2137215350268444E-2</v>
      </c>
      <c r="M465" s="16"/>
      <c r="N465" s="16"/>
      <c r="O465" s="16"/>
      <c r="P465" s="16"/>
      <c r="Q465" s="16"/>
      <c r="R465" s="16"/>
    </row>
    <row r="466" spans="1:22" s="15" customFormat="1">
      <c r="A466" s="15">
        <v>465</v>
      </c>
      <c r="B466" s="15" t="s">
        <v>22</v>
      </c>
      <c r="C466" s="15">
        <v>4</v>
      </c>
      <c r="D466" s="15" t="s">
        <v>23</v>
      </c>
      <c r="E466" s="15">
        <v>9</v>
      </c>
      <c r="F466" s="17" t="s">
        <v>24</v>
      </c>
      <c r="G466" s="15">
        <v>1.2509999999999999</v>
      </c>
      <c r="I466" s="15">
        <f>H466-G466</f>
        <v>-1.2509999999999999</v>
      </c>
      <c r="J466" s="15">
        <v>5</v>
      </c>
      <c r="K466" s="15">
        <f t="shared" si="431"/>
        <v>57.157143750000003</v>
      </c>
      <c r="L466" s="15">
        <f t="shared" si="428"/>
        <v>-2.1887027901039927E-2</v>
      </c>
      <c r="S466" s="15">
        <f t="shared" ref="S466" si="447">R466-N466</f>
        <v>0</v>
      </c>
      <c r="T466" s="15" t="e">
        <f t="shared" ref="T466" si="448">((O466-S466)/O466)*100</f>
        <v>#DIV/0!</v>
      </c>
      <c r="U466" s="15" t="e">
        <f t="shared" si="434"/>
        <v>#DIV/0!</v>
      </c>
      <c r="V466" s="15" t="e">
        <f>L466*(U466/100)</f>
        <v>#DIV/0!</v>
      </c>
    </row>
    <row r="467" spans="1:22" s="15" customFormat="1">
      <c r="A467" s="15">
        <v>466</v>
      </c>
      <c r="B467" s="15" t="s">
        <v>22</v>
      </c>
      <c r="C467" s="15">
        <v>4</v>
      </c>
      <c r="D467" s="15" t="s">
        <v>23</v>
      </c>
      <c r="E467" s="15">
        <v>9</v>
      </c>
      <c r="F467" s="17" t="s">
        <v>25</v>
      </c>
      <c r="G467" s="15">
        <v>1.2652000000000001</v>
      </c>
      <c r="I467" s="15">
        <f>H467-G467</f>
        <v>-1.2652000000000001</v>
      </c>
      <c r="J467" s="15">
        <v>5</v>
      </c>
      <c r="K467" s="15">
        <f t="shared" si="431"/>
        <v>57.157143750000003</v>
      </c>
      <c r="L467" s="15">
        <f t="shared" si="428"/>
        <v>-2.2135465787686427E-2</v>
      </c>
      <c r="M467" s="16"/>
      <c r="N467" s="16"/>
      <c r="O467" s="16"/>
      <c r="P467" s="16"/>
      <c r="Q467" s="16"/>
      <c r="R467" s="16"/>
    </row>
    <row r="468" spans="1:22" s="15" customFormat="1">
      <c r="A468" s="15">
        <v>467</v>
      </c>
      <c r="B468" s="15" t="s">
        <v>22</v>
      </c>
      <c r="C468" s="15">
        <v>4</v>
      </c>
      <c r="D468" s="15" t="s">
        <v>23</v>
      </c>
      <c r="E468" s="15">
        <v>9</v>
      </c>
      <c r="F468" s="17" t="s">
        <v>26</v>
      </c>
      <c r="G468" s="15">
        <v>1.27</v>
      </c>
      <c r="I468" s="15">
        <f>H468-G468</f>
        <v>-1.27</v>
      </c>
      <c r="J468" s="15">
        <v>5</v>
      </c>
      <c r="K468" s="15">
        <f t="shared" si="431"/>
        <v>57.157143750000003</v>
      </c>
      <c r="L468" s="15">
        <f t="shared" si="428"/>
        <v>-2.2219444791623268E-2</v>
      </c>
      <c r="S468" s="15">
        <f t="shared" ref="S468" si="449">R468-N468</f>
        <v>0</v>
      </c>
      <c r="T468" s="15" t="e">
        <f t="shared" ref="T468" si="450">((O468-S468)/O468)*100</f>
        <v>#DIV/0!</v>
      </c>
      <c r="U468" s="15" t="e">
        <f t="shared" si="434"/>
        <v>#DIV/0!</v>
      </c>
      <c r="V468" s="15" t="e">
        <f>L468*(U468/100)</f>
        <v>#DIV/0!</v>
      </c>
    </row>
    <row r="469" spans="1:22" s="15" customFormat="1">
      <c r="A469" s="15">
        <v>468</v>
      </c>
      <c r="B469" s="15" t="s">
        <v>22</v>
      </c>
      <c r="C469" s="15">
        <v>4</v>
      </c>
      <c r="D469" s="15" t="s">
        <v>23</v>
      </c>
      <c r="E469" s="15">
        <v>9</v>
      </c>
      <c r="F469" s="17" t="s">
        <v>27</v>
      </c>
      <c r="G469" s="15">
        <v>1.2616000000000001</v>
      </c>
      <c r="I469" s="15">
        <f>H469-G469</f>
        <v>-1.2616000000000001</v>
      </c>
      <c r="J469" s="15">
        <v>5</v>
      </c>
      <c r="K469" s="15">
        <f t="shared" si="431"/>
        <v>57.157143750000003</v>
      </c>
      <c r="L469" s="15">
        <f t="shared" si="428"/>
        <v>-2.2072481534733793E-2</v>
      </c>
      <c r="M469" s="16"/>
      <c r="N469" s="16"/>
      <c r="O469" s="16"/>
      <c r="P469" s="16"/>
      <c r="Q469" s="16"/>
      <c r="R469" s="16"/>
    </row>
    <row r="470" spans="1:22" s="15" customFormat="1">
      <c r="A470" s="15">
        <v>469</v>
      </c>
      <c r="B470" s="15" t="s">
        <v>22</v>
      </c>
      <c r="C470" s="15">
        <v>4</v>
      </c>
      <c r="D470" s="15" t="s">
        <v>28</v>
      </c>
      <c r="E470" s="15">
        <v>9</v>
      </c>
      <c r="F470" s="17" t="s">
        <v>24</v>
      </c>
      <c r="G470" s="15">
        <v>1.2644</v>
      </c>
      <c r="I470" s="15">
        <f>H470-G470</f>
        <v>-1.2644</v>
      </c>
      <c r="J470" s="15">
        <v>5</v>
      </c>
      <c r="K470" s="15">
        <f t="shared" si="431"/>
        <v>57.157143750000003</v>
      </c>
      <c r="L470" s="15">
        <f t="shared" si="428"/>
        <v>-2.2121469287030283E-2</v>
      </c>
      <c r="S470" s="15">
        <f t="shared" ref="S470" si="451">R470-N470</f>
        <v>0</v>
      </c>
      <c r="T470" s="15" t="e">
        <f t="shared" ref="T470" si="452">((O470-S470)/O470)*100</f>
        <v>#DIV/0!</v>
      </c>
      <c r="U470" s="15" t="e">
        <f t="shared" si="434"/>
        <v>#DIV/0!</v>
      </c>
      <c r="V470" s="15" t="e">
        <f>L470*(U470/100)</f>
        <v>#DIV/0!</v>
      </c>
    </row>
    <row r="471" spans="1:22" s="15" customFormat="1">
      <c r="A471" s="15">
        <v>470</v>
      </c>
      <c r="B471" s="15" t="s">
        <v>22</v>
      </c>
      <c r="C471" s="15">
        <v>4</v>
      </c>
      <c r="D471" s="15" t="s">
        <v>28</v>
      </c>
      <c r="E471" s="15">
        <v>9</v>
      </c>
      <c r="F471" s="17" t="s">
        <v>25</v>
      </c>
      <c r="G471" s="15">
        <v>1.2742</v>
      </c>
      <c r="I471" s="15">
        <f>H471-G471</f>
        <v>-1.2742</v>
      </c>
      <c r="J471" s="15">
        <v>5</v>
      </c>
      <c r="K471" s="15">
        <f t="shared" si="431"/>
        <v>57.157143750000003</v>
      </c>
      <c r="L471" s="15">
        <f t="shared" si="428"/>
        <v>-2.2292926420068006E-2</v>
      </c>
      <c r="M471" s="16"/>
      <c r="N471" s="16"/>
      <c r="O471" s="16"/>
      <c r="P471" s="16"/>
      <c r="Q471" s="16"/>
      <c r="R471" s="16"/>
    </row>
    <row r="472" spans="1:22" s="15" customFormat="1">
      <c r="A472" s="15">
        <v>471</v>
      </c>
      <c r="B472" s="15" t="s">
        <v>22</v>
      </c>
      <c r="C472" s="15">
        <v>4</v>
      </c>
      <c r="D472" s="15" t="s">
        <v>28</v>
      </c>
      <c r="E472" s="15">
        <v>9</v>
      </c>
      <c r="F472" s="17" t="s">
        <v>26</v>
      </c>
      <c r="G472" s="15">
        <v>1.2638</v>
      </c>
      <c r="I472" s="15">
        <f>H472-G472</f>
        <v>-1.2638</v>
      </c>
      <c r="J472" s="15">
        <v>5</v>
      </c>
      <c r="K472" s="15">
        <f t="shared" si="431"/>
        <v>57.157143750000003</v>
      </c>
      <c r="L472" s="15">
        <f t="shared" si="428"/>
        <v>-2.2110971911538178E-2</v>
      </c>
      <c r="S472" s="15">
        <f t="shared" ref="S472" si="453">R472-N472</f>
        <v>0</v>
      </c>
      <c r="T472" s="15" t="e">
        <f t="shared" ref="T472" si="454">((O472-S472)/O472)*100</f>
        <v>#DIV/0!</v>
      </c>
      <c r="U472" s="15" t="e">
        <f t="shared" si="434"/>
        <v>#DIV/0!</v>
      </c>
      <c r="V472" s="15" t="e">
        <f>L472*(U472/100)</f>
        <v>#DIV/0!</v>
      </c>
    </row>
    <row r="473" spans="1:22" s="15" customFormat="1">
      <c r="A473" s="15">
        <v>472</v>
      </c>
      <c r="B473" s="15" t="s">
        <v>22</v>
      </c>
      <c r="C473" s="15">
        <v>4</v>
      </c>
      <c r="D473" s="15" t="s">
        <v>28</v>
      </c>
      <c r="E473" s="15">
        <v>9</v>
      </c>
      <c r="F473" s="17" t="s">
        <v>27</v>
      </c>
      <c r="G473" s="15">
        <v>1.2668999999999999</v>
      </c>
      <c r="I473" s="15">
        <f>H473-G473</f>
        <v>-1.2668999999999999</v>
      </c>
      <c r="J473" s="15">
        <v>5</v>
      </c>
      <c r="K473" s="15">
        <f t="shared" si="431"/>
        <v>57.157143750000003</v>
      </c>
      <c r="L473" s="15">
        <f t="shared" si="428"/>
        <v>-2.2165208351580722E-2</v>
      </c>
      <c r="M473" s="16"/>
      <c r="N473" s="16"/>
      <c r="O473" s="16"/>
      <c r="P473" s="16"/>
      <c r="Q473" s="16"/>
      <c r="R473" s="16"/>
    </row>
    <row r="474" spans="1:22" s="15" customFormat="1">
      <c r="A474" s="15">
        <v>473</v>
      </c>
      <c r="B474" s="15" t="s">
        <v>22</v>
      </c>
      <c r="C474" s="15">
        <v>4</v>
      </c>
      <c r="D474" s="15" t="s">
        <v>29</v>
      </c>
      <c r="E474" s="15">
        <v>9</v>
      </c>
      <c r="F474" s="17" t="s">
        <v>24</v>
      </c>
      <c r="G474" s="15">
        <v>1.2693000000000001</v>
      </c>
      <c r="I474" s="15">
        <f>H474-G474</f>
        <v>-1.2693000000000001</v>
      </c>
      <c r="J474" s="15">
        <v>5</v>
      </c>
      <c r="K474" s="15">
        <f t="shared" si="431"/>
        <v>57.157143750000003</v>
      </c>
      <c r="L474" s="15">
        <f t="shared" si="428"/>
        <v>-2.2207197853549146E-2</v>
      </c>
      <c r="S474" s="15">
        <f t="shared" ref="S474" si="455">R474-N474</f>
        <v>0</v>
      </c>
      <c r="T474" s="15" t="e">
        <f t="shared" ref="T474" si="456">((O474-S474)/O474)*100</f>
        <v>#DIV/0!</v>
      </c>
      <c r="U474" s="15" t="e">
        <f t="shared" si="434"/>
        <v>#DIV/0!</v>
      </c>
      <c r="V474" s="15" t="e">
        <f>L474*(U474/100)</f>
        <v>#DIV/0!</v>
      </c>
    </row>
    <row r="475" spans="1:22" s="15" customFormat="1">
      <c r="A475" s="15">
        <v>474</v>
      </c>
      <c r="B475" s="15" t="s">
        <v>22</v>
      </c>
      <c r="C475" s="15">
        <v>4</v>
      </c>
      <c r="D475" s="17" t="s">
        <v>29</v>
      </c>
      <c r="E475" s="15">
        <v>9</v>
      </c>
      <c r="F475" s="17" t="s">
        <v>25</v>
      </c>
      <c r="G475" s="15">
        <v>1.2633000000000001</v>
      </c>
      <c r="I475" s="15">
        <f>H475-G475</f>
        <v>-1.2633000000000001</v>
      </c>
      <c r="J475" s="15">
        <v>5</v>
      </c>
      <c r="K475" s="15">
        <f t="shared" si="431"/>
        <v>57.157143750000003</v>
      </c>
      <c r="L475" s="15">
        <f t="shared" si="428"/>
        <v>-2.2102224098628092E-2</v>
      </c>
      <c r="M475" s="16"/>
      <c r="N475" s="16"/>
      <c r="O475" s="16"/>
      <c r="P475" s="16"/>
      <c r="Q475" s="16"/>
      <c r="R475" s="16"/>
    </row>
    <row r="476" spans="1:22" s="15" customFormat="1">
      <c r="A476" s="15">
        <v>475</v>
      </c>
      <c r="B476" s="15" t="s">
        <v>22</v>
      </c>
      <c r="C476" s="15">
        <v>4</v>
      </c>
      <c r="D476" s="15" t="s">
        <v>29</v>
      </c>
      <c r="E476" s="15">
        <v>9</v>
      </c>
      <c r="F476" s="17" t="s">
        <v>26</v>
      </c>
      <c r="G476" s="15">
        <v>1.2583</v>
      </c>
      <c r="I476" s="15">
        <f>H476-G476</f>
        <v>-1.2583</v>
      </c>
      <c r="J476" s="15">
        <v>5</v>
      </c>
      <c r="K476" s="15">
        <f t="shared" si="431"/>
        <v>57.157143750000003</v>
      </c>
      <c r="L476" s="15">
        <f t="shared" si="428"/>
        <v>-2.2014745969527211E-2</v>
      </c>
      <c r="S476" s="15">
        <f t="shared" ref="S476" si="457">R476-N476</f>
        <v>0</v>
      </c>
      <c r="T476" s="15" t="e">
        <f t="shared" ref="T476" si="458">((O476-S476)/O476)*100</f>
        <v>#DIV/0!</v>
      </c>
      <c r="U476" s="15" t="e">
        <f t="shared" si="434"/>
        <v>#DIV/0!</v>
      </c>
      <c r="V476" s="15" t="e">
        <f>L476*(U476/100)</f>
        <v>#DIV/0!</v>
      </c>
    </row>
    <row r="477" spans="1:22" s="15" customFormat="1">
      <c r="A477" s="15">
        <v>476</v>
      </c>
      <c r="B477" s="15" t="s">
        <v>22</v>
      </c>
      <c r="C477" s="15">
        <v>4</v>
      </c>
      <c r="D477" s="17" t="s">
        <v>29</v>
      </c>
      <c r="E477" s="15">
        <v>9</v>
      </c>
      <c r="F477" s="17" t="s">
        <v>27</v>
      </c>
      <c r="G477" s="15">
        <v>1.2678</v>
      </c>
      <c r="I477" s="15">
        <f>H477-G477</f>
        <v>-1.2678</v>
      </c>
      <c r="J477" s="15">
        <v>5</v>
      </c>
      <c r="K477" s="15">
        <f t="shared" si="431"/>
        <v>57.157143750000003</v>
      </c>
      <c r="L477" s="15">
        <f t="shared" si="428"/>
        <v>-2.2180954414818883E-2</v>
      </c>
      <c r="M477" s="16"/>
      <c r="N477" s="16"/>
      <c r="O477" s="16"/>
      <c r="P477" s="16"/>
      <c r="Q477" s="16"/>
      <c r="R477" s="16"/>
    </row>
    <row r="478" spans="1:22" s="15" customFormat="1">
      <c r="A478" s="15">
        <v>477</v>
      </c>
      <c r="B478" s="15" t="s">
        <v>22</v>
      </c>
      <c r="C478" s="15">
        <v>4</v>
      </c>
      <c r="D478" s="15" t="s">
        <v>30</v>
      </c>
      <c r="E478" s="15">
        <v>9</v>
      </c>
      <c r="F478" s="17" t="s">
        <v>24</v>
      </c>
      <c r="G478" s="15">
        <v>1.2665</v>
      </c>
      <c r="I478" s="15">
        <f>H478-G478</f>
        <v>-1.2665</v>
      </c>
      <c r="J478" s="15">
        <v>5</v>
      </c>
      <c r="K478" s="15">
        <f t="shared" si="431"/>
        <v>57.157143750000003</v>
      </c>
      <c r="L478" s="15">
        <f t="shared" si="428"/>
        <v>-2.2158210101252653E-2</v>
      </c>
      <c r="S478" s="15">
        <f t="shared" ref="S478" si="459">R478-N478</f>
        <v>0</v>
      </c>
      <c r="T478" s="15" t="e">
        <f t="shared" ref="T478" si="460">((O478-S478)/O478)*100</f>
        <v>#DIV/0!</v>
      </c>
      <c r="U478" s="15" t="e">
        <f t="shared" si="434"/>
        <v>#DIV/0!</v>
      </c>
      <c r="V478" s="15" t="e">
        <f>L478*(U478/100)</f>
        <v>#DIV/0!</v>
      </c>
    </row>
    <row r="479" spans="1:22" s="15" customFormat="1">
      <c r="A479" s="15">
        <v>478</v>
      </c>
      <c r="B479" s="15" t="s">
        <v>22</v>
      </c>
      <c r="C479" s="15">
        <v>4</v>
      </c>
      <c r="D479" s="17" t="s">
        <v>30</v>
      </c>
      <c r="E479" s="15">
        <v>9</v>
      </c>
      <c r="F479" s="17" t="s">
        <v>25</v>
      </c>
      <c r="G479" s="15">
        <v>1.2677</v>
      </c>
      <c r="I479" s="15">
        <f>H479-G479</f>
        <v>-1.2677</v>
      </c>
      <c r="J479" s="15">
        <v>5</v>
      </c>
      <c r="K479" s="15">
        <f t="shared" si="431"/>
        <v>57.157143750000003</v>
      </c>
      <c r="L479" s="15">
        <f t="shared" si="428"/>
        <v>-2.2179204852236865E-2</v>
      </c>
      <c r="M479" s="16"/>
      <c r="N479" s="16"/>
      <c r="O479" s="16"/>
      <c r="P479" s="16"/>
      <c r="Q479" s="16"/>
      <c r="R479" s="16"/>
    </row>
    <row r="480" spans="1:22" s="15" customFormat="1">
      <c r="A480" s="15">
        <v>479</v>
      </c>
      <c r="B480" s="15" t="s">
        <v>22</v>
      </c>
      <c r="C480" s="15">
        <v>4</v>
      </c>
      <c r="D480" s="15" t="s">
        <v>30</v>
      </c>
      <c r="E480" s="15">
        <v>9</v>
      </c>
      <c r="F480" s="17" t="s">
        <v>26</v>
      </c>
      <c r="G480" s="15">
        <v>1.2735000000000001</v>
      </c>
      <c r="I480" s="15">
        <f>H480-G480</f>
        <v>-1.2735000000000001</v>
      </c>
      <c r="J480" s="15">
        <v>5</v>
      </c>
      <c r="K480" s="15">
        <f t="shared" si="431"/>
        <v>57.157143750000003</v>
      </c>
      <c r="L480" s="15">
        <f t="shared" si="428"/>
        <v>-2.2280679481993883E-2</v>
      </c>
      <c r="S480" s="15">
        <f t="shared" ref="S480" si="461">R480-N480</f>
        <v>0</v>
      </c>
      <c r="T480" s="15" t="e">
        <f t="shared" ref="T480" si="462">((O480-S480)/O480)*100</f>
        <v>#DIV/0!</v>
      </c>
      <c r="U480" s="15" t="e">
        <f t="shared" si="434"/>
        <v>#DIV/0!</v>
      </c>
      <c r="V480" s="15" t="e">
        <f>L480*(U480/100)</f>
        <v>#DIV/0!</v>
      </c>
    </row>
    <row r="481" spans="1:22" s="15" customFormat="1">
      <c r="A481" s="15">
        <v>480</v>
      </c>
      <c r="B481" s="15" t="s">
        <v>22</v>
      </c>
      <c r="C481" s="15">
        <v>4</v>
      </c>
      <c r="D481" s="17" t="s">
        <v>30</v>
      </c>
      <c r="E481" s="15">
        <v>9</v>
      </c>
      <c r="F481" s="17" t="s">
        <v>27</v>
      </c>
      <c r="G481" s="15">
        <v>1.2695000000000001</v>
      </c>
      <c r="I481" s="15">
        <f>H481-G481</f>
        <v>-1.2695000000000001</v>
      </c>
      <c r="J481" s="15">
        <v>5</v>
      </c>
      <c r="K481" s="15">
        <f t="shared" si="431"/>
        <v>57.157143750000003</v>
      </c>
      <c r="L481" s="15">
        <f t="shared" si="428"/>
        <v>-2.2210696978713182E-2</v>
      </c>
      <c r="M481" s="16"/>
      <c r="N481" s="16"/>
      <c r="O481" s="16"/>
      <c r="P481" s="16"/>
      <c r="Q481" s="16"/>
      <c r="R481" s="16"/>
    </row>
    <row r="482" spans="1:22">
      <c r="A482">
        <v>481</v>
      </c>
      <c r="B482" t="s">
        <v>32</v>
      </c>
      <c r="C482">
        <v>4</v>
      </c>
      <c r="D482" t="s">
        <v>23</v>
      </c>
      <c r="E482">
        <v>7</v>
      </c>
      <c r="F482" t="s">
        <v>24</v>
      </c>
      <c r="I482">
        <f>H482-G482</f>
        <v>0</v>
      </c>
      <c r="J482">
        <v>5</v>
      </c>
      <c r="K482">
        <f t="shared" si="431"/>
        <v>57.157143750000003</v>
      </c>
      <c r="L482">
        <f t="shared" si="428"/>
        <v>0</v>
      </c>
      <c r="S482">
        <f t="shared" ref="S482" si="463">R482-N482</f>
        <v>0</v>
      </c>
      <c r="T482" t="e">
        <f t="shared" ref="T482" si="464">((O482-S482)/O482)*100</f>
        <v>#DIV/0!</v>
      </c>
      <c r="U482" t="e">
        <f t="shared" si="434"/>
        <v>#DIV/0!</v>
      </c>
      <c r="V482" t="e">
        <f>L482*(U482/100)</f>
        <v>#DIV/0!</v>
      </c>
    </row>
    <row r="483" spans="1:22">
      <c r="A483">
        <v>482</v>
      </c>
      <c r="B483" t="s">
        <v>32</v>
      </c>
      <c r="C483">
        <v>4</v>
      </c>
      <c r="D483" t="s">
        <v>23</v>
      </c>
      <c r="E483">
        <v>7</v>
      </c>
      <c r="F483" t="s">
        <v>25</v>
      </c>
      <c r="I483">
        <f>H483-G483</f>
        <v>0</v>
      </c>
      <c r="J483">
        <v>5</v>
      </c>
      <c r="K483">
        <f t="shared" si="431"/>
        <v>57.157143750000003</v>
      </c>
      <c r="L483">
        <f t="shared" si="428"/>
        <v>0</v>
      </c>
      <c r="M483" s="4"/>
      <c r="N483" s="4"/>
      <c r="O483" s="4"/>
      <c r="P483" s="4"/>
      <c r="Q483" s="4"/>
      <c r="R483" s="4"/>
    </row>
    <row r="484" spans="1:22">
      <c r="A484">
        <v>483</v>
      </c>
      <c r="B484" t="s">
        <v>32</v>
      </c>
      <c r="C484">
        <v>4</v>
      </c>
      <c r="D484" t="s">
        <v>23</v>
      </c>
      <c r="E484">
        <v>7</v>
      </c>
      <c r="F484" t="s">
        <v>26</v>
      </c>
      <c r="I484">
        <f>H484-G484</f>
        <v>0</v>
      </c>
      <c r="J484">
        <v>5</v>
      </c>
      <c r="K484">
        <f t="shared" si="431"/>
        <v>57.157143750000003</v>
      </c>
      <c r="L484">
        <f t="shared" si="428"/>
        <v>0</v>
      </c>
      <c r="S484">
        <f t="shared" ref="S484" si="465">R484-N484</f>
        <v>0</v>
      </c>
      <c r="T484" t="e">
        <f t="shared" ref="T484" si="466">((O484-S484)/O484)*100</f>
        <v>#DIV/0!</v>
      </c>
      <c r="U484" t="e">
        <f t="shared" si="434"/>
        <v>#DIV/0!</v>
      </c>
      <c r="V484" t="e">
        <f>L484*(U484/100)</f>
        <v>#DIV/0!</v>
      </c>
    </row>
    <row r="485" spans="1:22">
      <c r="A485">
        <v>484</v>
      </c>
      <c r="B485" t="s">
        <v>32</v>
      </c>
      <c r="C485">
        <v>4</v>
      </c>
      <c r="D485" t="s">
        <v>23</v>
      </c>
      <c r="E485">
        <v>7</v>
      </c>
      <c r="F485" t="s">
        <v>27</v>
      </c>
      <c r="I485">
        <f>H485-G485</f>
        <v>0</v>
      </c>
      <c r="J485">
        <v>5</v>
      </c>
      <c r="K485">
        <f t="shared" si="431"/>
        <v>57.157143750000003</v>
      </c>
      <c r="L485">
        <f t="shared" si="428"/>
        <v>0</v>
      </c>
      <c r="M485" s="4"/>
      <c r="N485" s="4"/>
      <c r="O485" s="4"/>
      <c r="P485" s="4"/>
      <c r="Q485" s="4"/>
      <c r="R485" s="4"/>
    </row>
    <row r="486" spans="1:22">
      <c r="A486">
        <v>485</v>
      </c>
      <c r="B486" t="s">
        <v>32</v>
      </c>
      <c r="C486">
        <v>4</v>
      </c>
      <c r="D486" t="s">
        <v>28</v>
      </c>
      <c r="E486">
        <v>7</v>
      </c>
      <c r="F486" t="s">
        <v>24</v>
      </c>
      <c r="I486">
        <f>H486-G486</f>
        <v>0</v>
      </c>
      <c r="J486">
        <v>5</v>
      </c>
      <c r="K486">
        <f t="shared" si="431"/>
        <v>57.157143750000003</v>
      </c>
      <c r="L486">
        <f t="shared" si="428"/>
        <v>0</v>
      </c>
      <c r="S486">
        <f t="shared" ref="S486" si="467">R486-N486</f>
        <v>0</v>
      </c>
      <c r="T486" t="e">
        <f t="shared" ref="T486" si="468">((O486-S486)/O486)*100</f>
        <v>#DIV/0!</v>
      </c>
      <c r="U486" t="e">
        <f t="shared" si="434"/>
        <v>#DIV/0!</v>
      </c>
      <c r="V486" t="e">
        <f>L486*(U486/100)</f>
        <v>#DIV/0!</v>
      </c>
    </row>
    <row r="487" spans="1:22">
      <c r="A487">
        <v>486</v>
      </c>
      <c r="B487" t="s">
        <v>32</v>
      </c>
      <c r="C487">
        <v>4</v>
      </c>
      <c r="D487" t="s">
        <v>28</v>
      </c>
      <c r="E487">
        <v>7</v>
      </c>
      <c r="F487" t="s">
        <v>25</v>
      </c>
      <c r="I487">
        <f>H487-G487</f>
        <v>0</v>
      </c>
      <c r="J487">
        <v>5</v>
      </c>
      <c r="K487">
        <f t="shared" si="431"/>
        <v>57.157143750000003</v>
      </c>
      <c r="L487">
        <f t="shared" si="428"/>
        <v>0</v>
      </c>
      <c r="M487" s="4"/>
      <c r="N487" s="4"/>
      <c r="O487" s="4"/>
      <c r="P487" s="4"/>
      <c r="Q487" s="4"/>
      <c r="R487" s="4"/>
    </row>
    <row r="488" spans="1:22">
      <c r="A488">
        <v>487</v>
      </c>
      <c r="B488" t="s">
        <v>32</v>
      </c>
      <c r="C488">
        <v>4</v>
      </c>
      <c r="D488" t="s">
        <v>28</v>
      </c>
      <c r="E488">
        <v>7</v>
      </c>
      <c r="F488" t="s">
        <v>26</v>
      </c>
      <c r="I488">
        <f>H488-G488</f>
        <v>0</v>
      </c>
      <c r="J488">
        <v>5</v>
      </c>
      <c r="K488">
        <f t="shared" si="431"/>
        <v>57.157143750000003</v>
      </c>
      <c r="L488">
        <f t="shared" si="428"/>
        <v>0</v>
      </c>
      <c r="S488">
        <f t="shared" ref="S488" si="469">R488-N488</f>
        <v>0</v>
      </c>
      <c r="T488" t="e">
        <f t="shared" ref="T488" si="470">((O488-S488)/O488)*100</f>
        <v>#DIV/0!</v>
      </c>
      <c r="U488" t="e">
        <f t="shared" si="434"/>
        <v>#DIV/0!</v>
      </c>
      <c r="V488" t="e">
        <f>L488*(U488/100)</f>
        <v>#DIV/0!</v>
      </c>
    </row>
    <row r="489" spans="1:22">
      <c r="A489">
        <v>488</v>
      </c>
      <c r="B489" t="s">
        <v>32</v>
      </c>
      <c r="C489">
        <v>4</v>
      </c>
      <c r="D489" t="s">
        <v>28</v>
      </c>
      <c r="E489">
        <v>7</v>
      </c>
      <c r="F489" t="s">
        <v>27</v>
      </c>
      <c r="I489">
        <f>H489-G489</f>
        <v>0</v>
      </c>
      <c r="J489">
        <v>5</v>
      </c>
      <c r="K489">
        <f t="shared" si="431"/>
        <v>57.157143750000003</v>
      </c>
      <c r="L489">
        <f t="shared" si="428"/>
        <v>0</v>
      </c>
      <c r="M489" s="4"/>
      <c r="N489" s="4"/>
      <c r="O489" s="4"/>
      <c r="P489" s="4"/>
      <c r="Q489" s="4"/>
      <c r="R489" s="4"/>
    </row>
    <row r="490" spans="1:22">
      <c r="A490">
        <v>489</v>
      </c>
      <c r="B490" t="s">
        <v>32</v>
      </c>
      <c r="C490">
        <v>4</v>
      </c>
      <c r="D490" t="s">
        <v>29</v>
      </c>
      <c r="E490">
        <v>7</v>
      </c>
      <c r="F490" t="s">
        <v>24</v>
      </c>
      <c r="I490">
        <f>H490-G490</f>
        <v>0</v>
      </c>
      <c r="J490">
        <v>5</v>
      </c>
      <c r="K490">
        <f t="shared" si="431"/>
        <v>57.157143750000003</v>
      </c>
      <c r="L490">
        <f t="shared" si="428"/>
        <v>0</v>
      </c>
      <c r="S490">
        <f t="shared" ref="S490" si="471">R490-N490</f>
        <v>0</v>
      </c>
      <c r="T490" t="e">
        <f t="shared" ref="T490" si="472">((O490-S490)/O490)*100</f>
        <v>#DIV/0!</v>
      </c>
      <c r="U490" t="e">
        <f t="shared" si="434"/>
        <v>#DIV/0!</v>
      </c>
      <c r="V490" t="e">
        <f>L490*(U490/100)</f>
        <v>#DIV/0!</v>
      </c>
    </row>
    <row r="491" spans="1:22">
      <c r="A491">
        <v>490</v>
      </c>
      <c r="B491" t="s">
        <v>32</v>
      </c>
      <c r="C491">
        <v>4</v>
      </c>
      <c r="D491" s="5" t="s">
        <v>29</v>
      </c>
      <c r="E491">
        <v>7</v>
      </c>
      <c r="F491" t="s">
        <v>25</v>
      </c>
      <c r="I491">
        <f>H491-G491</f>
        <v>0</v>
      </c>
      <c r="J491">
        <v>5</v>
      </c>
      <c r="K491">
        <f t="shared" si="431"/>
        <v>57.157143750000003</v>
      </c>
      <c r="L491">
        <f t="shared" si="428"/>
        <v>0</v>
      </c>
      <c r="M491" s="4"/>
      <c r="N491" s="4"/>
      <c r="O491" s="4"/>
      <c r="P491" s="4"/>
      <c r="Q491" s="4"/>
      <c r="R491" s="4"/>
    </row>
    <row r="492" spans="1:22">
      <c r="A492">
        <v>491</v>
      </c>
      <c r="B492" t="s">
        <v>32</v>
      </c>
      <c r="C492">
        <v>4</v>
      </c>
      <c r="D492" t="s">
        <v>29</v>
      </c>
      <c r="E492">
        <v>7</v>
      </c>
      <c r="F492" t="s">
        <v>26</v>
      </c>
      <c r="I492">
        <f>H492-G492</f>
        <v>0</v>
      </c>
      <c r="J492">
        <v>5</v>
      </c>
      <c r="K492">
        <f t="shared" si="431"/>
        <v>57.157143750000003</v>
      </c>
      <c r="L492">
        <f t="shared" si="428"/>
        <v>0</v>
      </c>
      <c r="S492">
        <f t="shared" ref="S492" si="473">R492-N492</f>
        <v>0</v>
      </c>
      <c r="T492" t="e">
        <f t="shared" ref="T492" si="474">((O492-S492)/O492)*100</f>
        <v>#DIV/0!</v>
      </c>
      <c r="U492" t="e">
        <f t="shared" si="434"/>
        <v>#DIV/0!</v>
      </c>
      <c r="V492" t="e">
        <f>L492*(U492/100)</f>
        <v>#DIV/0!</v>
      </c>
    </row>
    <row r="493" spans="1:22">
      <c r="A493">
        <v>492</v>
      </c>
      <c r="B493" t="s">
        <v>32</v>
      </c>
      <c r="C493">
        <v>4</v>
      </c>
      <c r="D493" s="5" t="s">
        <v>29</v>
      </c>
      <c r="E493">
        <v>7</v>
      </c>
      <c r="F493" t="s">
        <v>27</v>
      </c>
      <c r="I493">
        <f>H493-G493</f>
        <v>0</v>
      </c>
      <c r="J493">
        <v>5</v>
      </c>
      <c r="K493">
        <f t="shared" si="431"/>
        <v>57.157143750000003</v>
      </c>
      <c r="L493">
        <f t="shared" si="428"/>
        <v>0</v>
      </c>
      <c r="M493" s="4"/>
      <c r="N493" s="4"/>
      <c r="O493" s="4"/>
      <c r="P493" s="4"/>
      <c r="Q493" s="4"/>
      <c r="R493" s="4"/>
    </row>
    <row r="494" spans="1:22">
      <c r="A494">
        <v>493</v>
      </c>
      <c r="B494" t="s">
        <v>32</v>
      </c>
      <c r="C494">
        <v>4</v>
      </c>
      <c r="D494" t="s">
        <v>30</v>
      </c>
      <c r="E494">
        <v>7</v>
      </c>
      <c r="F494" t="s">
        <v>24</v>
      </c>
      <c r="I494">
        <f>H494-G494</f>
        <v>0</v>
      </c>
      <c r="J494">
        <v>5</v>
      </c>
      <c r="K494">
        <f t="shared" si="431"/>
        <v>57.157143750000003</v>
      </c>
      <c r="L494">
        <f t="shared" si="428"/>
        <v>0</v>
      </c>
      <c r="S494">
        <f t="shared" ref="S494" si="475">R494-N494</f>
        <v>0</v>
      </c>
      <c r="T494" t="e">
        <f t="shared" ref="T494" si="476">((O494-S494)/O494)*100</f>
        <v>#DIV/0!</v>
      </c>
      <c r="U494" t="e">
        <f t="shared" si="434"/>
        <v>#DIV/0!</v>
      </c>
      <c r="V494" t="e">
        <f>L494*(U494/100)</f>
        <v>#DIV/0!</v>
      </c>
    </row>
    <row r="495" spans="1:22">
      <c r="A495">
        <v>494</v>
      </c>
      <c r="B495" t="s">
        <v>32</v>
      </c>
      <c r="C495">
        <v>4</v>
      </c>
      <c r="D495" s="5" t="s">
        <v>30</v>
      </c>
      <c r="E495">
        <v>7</v>
      </c>
      <c r="F495" t="s">
        <v>25</v>
      </c>
      <c r="I495">
        <f>H495-G495</f>
        <v>0</v>
      </c>
      <c r="J495">
        <v>5</v>
      </c>
      <c r="K495">
        <f t="shared" si="431"/>
        <v>57.157143750000003</v>
      </c>
      <c r="L495">
        <f t="shared" si="428"/>
        <v>0</v>
      </c>
      <c r="M495" s="4"/>
      <c r="N495" s="4"/>
      <c r="O495" s="4"/>
      <c r="P495" s="4"/>
      <c r="Q495" s="4"/>
      <c r="R495" s="4"/>
    </row>
    <row r="496" spans="1:22">
      <c r="A496">
        <v>495</v>
      </c>
      <c r="B496" t="s">
        <v>32</v>
      </c>
      <c r="C496">
        <v>4</v>
      </c>
      <c r="D496" t="s">
        <v>30</v>
      </c>
      <c r="E496">
        <v>7</v>
      </c>
      <c r="F496" t="s">
        <v>26</v>
      </c>
      <c r="I496">
        <f>H496-G496</f>
        <v>0</v>
      </c>
      <c r="J496">
        <v>5</v>
      </c>
      <c r="K496">
        <f t="shared" si="431"/>
        <v>57.157143750000003</v>
      </c>
      <c r="L496">
        <f t="shared" si="428"/>
        <v>0</v>
      </c>
      <c r="S496">
        <f t="shared" ref="S496" si="477">R496-N496</f>
        <v>0</v>
      </c>
      <c r="T496" t="e">
        <f t="shared" ref="T496" si="478">((O496-S496)/O496)*100</f>
        <v>#DIV/0!</v>
      </c>
      <c r="U496" t="e">
        <f t="shared" si="434"/>
        <v>#DIV/0!</v>
      </c>
      <c r="V496" t="e">
        <f>L496*(U496/100)</f>
        <v>#DIV/0!</v>
      </c>
    </row>
    <row r="497" spans="1:22">
      <c r="A497">
        <v>496</v>
      </c>
      <c r="B497" t="s">
        <v>32</v>
      </c>
      <c r="C497">
        <v>4</v>
      </c>
      <c r="D497" s="5" t="s">
        <v>30</v>
      </c>
      <c r="E497">
        <v>7</v>
      </c>
      <c r="F497" t="s">
        <v>27</v>
      </c>
      <c r="I497">
        <f>H497-G497</f>
        <v>0</v>
      </c>
      <c r="J497">
        <v>5</v>
      </c>
      <c r="K497">
        <f t="shared" si="431"/>
        <v>57.157143750000003</v>
      </c>
      <c r="L497">
        <f t="shared" si="428"/>
        <v>0</v>
      </c>
      <c r="M497" s="4"/>
      <c r="N497" s="4"/>
      <c r="O497" s="4"/>
      <c r="P497" s="4"/>
      <c r="Q497" s="4"/>
      <c r="R497" s="4"/>
    </row>
    <row r="498" spans="1:22">
      <c r="A498">
        <v>497</v>
      </c>
      <c r="B498" t="s">
        <v>32</v>
      </c>
      <c r="C498">
        <v>4</v>
      </c>
      <c r="D498" t="s">
        <v>23</v>
      </c>
      <c r="E498">
        <v>8</v>
      </c>
      <c r="F498" s="5" t="s">
        <v>24</v>
      </c>
      <c r="I498">
        <f>H498-G498</f>
        <v>0</v>
      </c>
      <c r="J498">
        <v>5</v>
      </c>
      <c r="K498">
        <f t="shared" si="431"/>
        <v>57.157143750000003</v>
      </c>
      <c r="L498">
        <f t="shared" si="428"/>
        <v>0</v>
      </c>
      <c r="S498">
        <f t="shared" ref="S498" si="479">R498-N498</f>
        <v>0</v>
      </c>
      <c r="T498" t="e">
        <f t="shared" ref="T498" si="480">((O498-S498)/O498)*100</f>
        <v>#DIV/0!</v>
      </c>
      <c r="U498" t="e">
        <f t="shared" si="434"/>
        <v>#DIV/0!</v>
      </c>
      <c r="V498" t="e">
        <f>L498*(U498/100)</f>
        <v>#DIV/0!</v>
      </c>
    </row>
    <row r="499" spans="1:22">
      <c r="A499">
        <v>498</v>
      </c>
      <c r="B499" t="s">
        <v>32</v>
      </c>
      <c r="C499">
        <v>4</v>
      </c>
      <c r="D499" t="s">
        <v>23</v>
      </c>
      <c r="E499">
        <v>8</v>
      </c>
      <c r="F499" s="5" t="s">
        <v>25</v>
      </c>
      <c r="I499">
        <f>H499-G499</f>
        <v>0</v>
      </c>
      <c r="J499">
        <v>5</v>
      </c>
      <c r="K499">
        <f t="shared" si="431"/>
        <v>57.157143750000003</v>
      </c>
      <c r="L499">
        <f t="shared" si="428"/>
        <v>0</v>
      </c>
      <c r="M499" s="4"/>
      <c r="N499" s="4"/>
      <c r="O499" s="4"/>
      <c r="P499" s="4"/>
      <c r="Q499" s="4"/>
      <c r="R499" s="4"/>
    </row>
    <row r="500" spans="1:22">
      <c r="A500">
        <v>499</v>
      </c>
      <c r="B500" t="s">
        <v>32</v>
      </c>
      <c r="C500">
        <v>4</v>
      </c>
      <c r="D500" t="s">
        <v>23</v>
      </c>
      <c r="E500">
        <v>8</v>
      </c>
      <c r="F500" s="5" t="s">
        <v>26</v>
      </c>
      <c r="I500">
        <f>H500-G500</f>
        <v>0</v>
      </c>
      <c r="J500">
        <v>5</v>
      </c>
      <c r="K500">
        <f t="shared" si="431"/>
        <v>57.157143750000003</v>
      </c>
      <c r="L500">
        <f t="shared" si="428"/>
        <v>0</v>
      </c>
      <c r="S500">
        <f t="shared" ref="S500" si="481">R500-N500</f>
        <v>0</v>
      </c>
      <c r="T500" t="e">
        <f t="shared" ref="T500" si="482">((O500-S500)/O500)*100</f>
        <v>#DIV/0!</v>
      </c>
      <c r="U500" t="e">
        <f t="shared" si="434"/>
        <v>#DIV/0!</v>
      </c>
      <c r="V500" t="e">
        <f>L500*(U500/100)</f>
        <v>#DIV/0!</v>
      </c>
    </row>
    <row r="501" spans="1:22">
      <c r="A501">
        <v>500</v>
      </c>
      <c r="B501" t="s">
        <v>32</v>
      </c>
      <c r="C501">
        <v>4</v>
      </c>
      <c r="D501" t="s">
        <v>23</v>
      </c>
      <c r="E501">
        <v>8</v>
      </c>
      <c r="F501" s="5" t="s">
        <v>27</v>
      </c>
      <c r="I501">
        <f>H501-G501</f>
        <v>0</v>
      </c>
      <c r="J501">
        <v>5</v>
      </c>
      <c r="K501">
        <f t="shared" si="431"/>
        <v>57.157143750000003</v>
      </c>
      <c r="L501">
        <f t="shared" si="428"/>
        <v>0</v>
      </c>
      <c r="M501" s="4"/>
      <c r="N501" s="4"/>
      <c r="O501" s="4"/>
      <c r="P501" s="4"/>
      <c r="Q501" s="4"/>
      <c r="R501" s="4"/>
    </row>
    <row r="502" spans="1:22">
      <c r="A502">
        <v>501</v>
      </c>
      <c r="B502" t="s">
        <v>32</v>
      </c>
      <c r="C502">
        <v>4</v>
      </c>
      <c r="D502" t="s">
        <v>28</v>
      </c>
      <c r="E502">
        <v>8</v>
      </c>
      <c r="F502" s="5" t="s">
        <v>24</v>
      </c>
      <c r="I502">
        <f>H502-G502</f>
        <v>0</v>
      </c>
      <c r="J502">
        <v>5</v>
      </c>
      <c r="K502">
        <f t="shared" si="431"/>
        <v>57.157143750000003</v>
      </c>
      <c r="L502">
        <f t="shared" si="428"/>
        <v>0</v>
      </c>
      <c r="S502">
        <f t="shared" ref="S502" si="483">R502-N502</f>
        <v>0</v>
      </c>
      <c r="T502" t="e">
        <f t="shared" ref="T502" si="484">((O502-S502)/O502)*100</f>
        <v>#DIV/0!</v>
      </c>
      <c r="U502" t="e">
        <f t="shared" si="434"/>
        <v>#DIV/0!</v>
      </c>
      <c r="V502" t="e">
        <f>L502*(U502/100)</f>
        <v>#DIV/0!</v>
      </c>
    </row>
    <row r="503" spans="1:22">
      <c r="A503">
        <v>502</v>
      </c>
      <c r="B503" t="s">
        <v>32</v>
      </c>
      <c r="C503">
        <v>4</v>
      </c>
      <c r="D503" t="s">
        <v>28</v>
      </c>
      <c r="E503">
        <v>8</v>
      </c>
      <c r="F503" s="5" t="s">
        <v>25</v>
      </c>
      <c r="I503">
        <f>H503-G503</f>
        <v>0</v>
      </c>
      <c r="J503">
        <v>5</v>
      </c>
      <c r="K503">
        <f t="shared" si="431"/>
        <v>57.157143750000003</v>
      </c>
      <c r="L503">
        <f t="shared" si="428"/>
        <v>0</v>
      </c>
      <c r="M503" s="4"/>
      <c r="N503" s="4"/>
      <c r="O503" s="4"/>
      <c r="P503" s="4"/>
      <c r="Q503" s="4"/>
      <c r="R503" s="4"/>
    </row>
    <row r="504" spans="1:22">
      <c r="A504">
        <v>503</v>
      </c>
      <c r="B504" t="s">
        <v>32</v>
      </c>
      <c r="C504">
        <v>4</v>
      </c>
      <c r="D504" t="s">
        <v>28</v>
      </c>
      <c r="E504">
        <v>8</v>
      </c>
      <c r="F504" s="5" t="s">
        <v>26</v>
      </c>
      <c r="I504">
        <f>H504-G504</f>
        <v>0</v>
      </c>
      <c r="J504">
        <v>5</v>
      </c>
      <c r="K504">
        <f t="shared" si="431"/>
        <v>57.157143750000003</v>
      </c>
      <c r="L504">
        <f t="shared" si="428"/>
        <v>0</v>
      </c>
      <c r="S504">
        <f t="shared" ref="S504" si="485">R504-N504</f>
        <v>0</v>
      </c>
      <c r="T504" t="e">
        <f t="shared" ref="T504" si="486">((O504-S504)/O504)*100</f>
        <v>#DIV/0!</v>
      </c>
      <c r="U504" t="e">
        <f t="shared" si="434"/>
        <v>#DIV/0!</v>
      </c>
      <c r="V504" t="e">
        <f>L504*(U504/100)</f>
        <v>#DIV/0!</v>
      </c>
    </row>
    <row r="505" spans="1:22">
      <c r="A505">
        <v>504</v>
      </c>
      <c r="B505" t="s">
        <v>32</v>
      </c>
      <c r="C505">
        <v>4</v>
      </c>
      <c r="D505" t="s">
        <v>28</v>
      </c>
      <c r="E505">
        <v>8</v>
      </c>
      <c r="F505" s="5" t="s">
        <v>27</v>
      </c>
      <c r="I505">
        <f>H505-G505</f>
        <v>0</v>
      </c>
      <c r="J505">
        <v>5</v>
      </c>
      <c r="K505">
        <f t="shared" si="431"/>
        <v>57.157143750000003</v>
      </c>
      <c r="L505">
        <f t="shared" si="428"/>
        <v>0</v>
      </c>
      <c r="M505" s="4"/>
      <c r="N505" s="4"/>
      <c r="O505" s="4"/>
      <c r="P505" s="4"/>
      <c r="Q505" s="4"/>
      <c r="R505" s="4"/>
    </row>
    <row r="506" spans="1:22">
      <c r="A506">
        <v>505</v>
      </c>
      <c r="B506" t="s">
        <v>32</v>
      </c>
      <c r="C506">
        <v>4</v>
      </c>
      <c r="D506" t="s">
        <v>29</v>
      </c>
      <c r="E506">
        <v>8</v>
      </c>
      <c r="F506" s="5" t="s">
        <v>24</v>
      </c>
      <c r="I506">
        <f>H506-G506</f>
        <v>0</v>
      </c>
      <c r="J506">
        <v>5</v>
      </c>
      <c r="K506">
        <f t="shared" si="431"/>
        <v>57.157143750000003</v>
      </c>
      <c r="L506">
        <f t="shared" si="428"/>
        <v>0</v>
      </c>
      <c r="S506">
        <f t="shared" ref="S506" si="487">R506-N506</f>
        <v>0</v>
      </c>
      <c r="T506" t="e">
        <f t="shared" ref="T506" si="488">((O506-S506)/O506)*100</f>
        <v>#DIV/0!</v>
      </c>
      <c r="U506" t="e">
        <f t="shared" si="434"/>
        <v>#DIV/0!</v>
      </c>
      <c r="V506" t="e">
        <f>L506*(U506/100)</f>
        <v>#DIV/0!</v>
      </c>
    </row>
    <row r="507" spans="1:22">
      <c r="A507">
        <v>506</v>
      </c>
      <c r="B507" t="s">
        <v>32</v>
      </c>
      <c r="C507">
        <v>4</v>
      </c>
      <c r="D507" s="5" t="s">
        <v>29</v>
      </c>
      <c r="E507">
        <v>8</v>
      </c>
      <c r="F507" s="5" t="s">
        <v>25</v>
      </c>
      <c r="I507">
        <f>H507-G507</f>
        <v>0</v>
      </c>
      <c r="J507">
        <v>5</v>
      </c>
      <c r="K507">
        <f t="shared" si="431"/>
        <v>57.157143750000003</v>
      </c>
      <c r="L507">
        <f t="shared" si="428"/>
        <v>0</v>
      </c>
      <c r="M507" s="4"/>
      <c r="N507" s="4"/>
      <c r="O507" s="4"/>
      <c r="P507" s="4"/>
      <c r="Q507" s="4"/>
      <c r="R507" s="4"/>
    </row>
    <row r="508" spans="1:22">
      <c r="A508">
        <v>507</v>
      </c>
      <c r="B508" t="s">
        <v>32</v>
      </c>
      <c r="C508">
        <v>4</v>
      </c>
      <c r="D508" t="s">
        <v>29</v>
      </c>
      <c r="E508">
        <v>8</v>
      </c>
      <c r="F508" s="5" t="s">
        <v>26</v>
      </c>
      <c r="I508">
        <f>H508-G508</f>
        <v>0</v>
      </c>
      <c r="J508">
        <v>5</v>
      </c>
      <c r="K508">
        <f t="shared" si="431"/>
        <v>57.157143750000003</v>
      </c>
      <c r="L508">
        <f t="shared" si="428"/>
        <v>0</v>
      </c>
      <c r="S508">
        <f t="shared" ref="S508" si="489">R508-N508</f>
        <v>0</v>
      </c>
      <c r="T508" t="e">
        <f t="shared" ref="T508" si="490">((O508-S508)/O508)*100</f>
        <v>#DIV/0!</v>
      </c>
      <c r="U508" t="e">
        <f t="shared" si="434"/>
        <v>#DIV/0!</v>
      </c>
      <c r="V508" t="e">
        <f>L508*(U508/100)</f>
        <v>#DIV/0!</v>
      </c>
    </row>
    <row r="509" spans="1:22">
      <c r="A509">
        <v>508</v>
      </c>
      <c r="B509" t="s">
        <v>32</v>
      </c>
      <c r="C509">
        <v>4</v>
      </c>
      <c r="D509" s="5" t="s">
        <v>29</v>
      </c>
      <c r="E509">
        <v>8</v>
      </c>
      <c r="F509" s="5" t="s">
        <v>27</v>
      </c>
      <c r="I509">
        <f>H509-G509</f>
        <v>0</v>
      </c>
      <c r="J509">
        <v>5</v>
      </c>
      <c r="K509">
        <f t="shared" si="431"/>
        <v>57.157143750000003</v>
      </c>
      <c r="L509">
        <f t="shared" si="428"/>
        <v>0</v>
      </c>
      <c r="M509" s="4"/>
      <c r="N509" s="4"/>
      <c r="O509" s="4"/>
      <c r="P509" s="4"/>
      <c r="Q509" s="4"/>
      <c r="R509" s="4"/>
    </row>
    <row r="510" spans="1:22">
      <c r="A510">
        <v>509</v>
      </c>
      <c r="B510" t="s">
        <v>32</v>
      </c>
      <c r="C510">
        <v>4</v>
      </c>
      <c r="D510" t="s">
        <v>30</v>
      </c>
      <c r="E510">
        <v>8</v>
      </c>
      <c r="F510" s="5" t="s">
        <v>24</v>
      </c>
      <c r="I510">
        <f>H510-G510</f>
        <v>0</v>
      </c>
      <c r="J510">
        <v>5</v>
      </c>
      <c r="K510">
        <f t="shared" si="431"/>
        <v>57.157143750000003</v>
      </c>
      <c r="L510">
        <f t="shared" si="428"/>
        <v>0</v>
      </c>
      <c r="S510">
        <f t="shared" ref="S510" si="491">R510-N510</f>
        <v>0</v>
      </c>
      <c r="T510" t="e">
        <f t="shared" ref="T510" si="492">((O510-S510)/O510)*100</f>
        <v>#DIV/0!</v>
      </c>
      <c r="U510" t="e">
        <f t="shared" si="434"/>
        <v>#DIV/0!</v>
      </c>
      <c r="V510" t="e">
        <f>L510*(U510/100)</f>
        <v>#DIV/0!</v>
      </c>
    </row>
    <row r="511" spans="1:22">
      <c r="A511">
        <v>510</v>
      </c>
      <c r="B511" t="s">
        <v>32</v>
      </c>
      <c r="C511">
        <v>4</v>
      </c>
      <c r="D511" s="5" t="s">
        <v>30</v>
      </c>
      <c r="E511">
        <v>8</v>
      </c>
      <c r="F511" s="5" t="s">
        <v>25</v>
      </c>
      <c r="I511">
        <f>H511-G511</f>
        <v>0</v>
      </c>
      <c r="J511">
        <v>5</v>
      </c>
      <c r="K511">
        <f t="shared" si="431"/>
        <v>57.157143750000003</v>
      </c>
      <c r="L511">
        <f t="shared" si="428"/>
        <v>0</v>
      </c>
      <c r="M511" s="4"/>
      <c r="N511" s="4"/>
      <c r="O511" s="4"/>
      <c r="P511" s="4"/>
      <c r="Q511" s="4"/>
      <c r="R511" s="4"/>
    </row>
    <row r="512" spans="1:22">
      <c r="A512">
        <v>511</v>
      </c>
      <c r="B512" t="s">
        <v>32</v>
      </c>
      <c r="C512">
        <v>4</v>
      </c>
      <c r="D512" t="s">
        <v>30</v>
      </c>
      <c r="E512">
        <v>8</v>
      </c>
      <c r="F512" s="5" t="s">
        <v>26</v>
      </c>
      <c r="I512">
        <f>H512-G512</f>
        <v>0</v>
      </c>
      <c r="J512">
        <v>5</v>
      </c>
      <c r="K512">
        <f t="shared" si="431"/>
        <v>57.157143750000003</v>
      </c>
      <c r="L512">
        <f t="shared" si="428"/>
        <v>0</v>
      </c>
      <c r="S512">
        <f t="shared" ref="S512" si="493">R512-N512</f>
        <v>0</v>
      </c>
      <c r="T512" t="e">
        <f t="shared" ref="T512" si="494">((O512-S512)/O512)*100</f>
        <v>#DIV/0!</v>
      </c>
      <c r="U512" t="e">
        <f t="shared" si="434"/>
        <v>#DIV/0!</v>
      </c>
      <c r="V512" t="e">
        <f>L512*(U512/100)</f>
        <v>#DIV/0!</v>
      </c>
    </row>
    <row r="513" spans="1:22">
      <c r="A513">
        <v>512</v>
      </c>
      <c r="B513" t="s">
        <v>32</v>
      </c>
      <c r="C513">
        <v>4</v>
      </c>
      <c r="D513" s="5" t="s">
        <v>30</v>
      </c>
      <c r="E513">
        <v>8</v>
      </c>
      <c r="F513" s="5" t="s">
        <v>27</v>
      </c>
      <c r="I513">
        <f>H513-G513</f>
        <v>0</v>
      </c>
      <c r="J513">
        <v>5</v>
      </c>
      <c r="K513">
        <f t="shared" si="431"/>
        <v>57.157143750000003</v>
      </c>
      <c r="L513">
        <f t="shared" si="428"/>
        <v>0</v>
      </c>
      <c r="M513" s="4"/>
      <c r="N513" s="4"/>
      <c r="O513" s="4"/>
      <c r="P513" s="4"/>
      <c r="Q513" s="4"/>
      <c r="R513" s="4"/>
    </row>
    <row r="514" spans="1:22">
      <c r="A514">
        <v>513</v>
      </c>
      <c r="B514" t="s">
        <v>32</v>
      </c>
      <c r="C514">
        <v>4</v>
      </c>
      <c r="D514" t="s">
        <v>23</v>
      </c>
      <c r="E514">
        <v>9</v>
      </c>
      <c r="F514" s="5" t="s">
        <v>24</v>
      </c>
      <c r="I514">
        <f>H514-G514</f>
        <v>0</v>
      </c>
      <c r="J514">
        <v>5</v>
      </c>
      <c r="K514">
        <f t="shared" si="431"/>
        <v>57.157143750000003</v>
      </c>
      <c r="L514">
        <f t="shared" ref="L514:L577" si="495">I514/K514</f>
        <v>0</v>
      </c>
      <c r="S514">
        <f t="shared" ref="S514" si="496">R514-N514</f>
        <v>0</v>
      </c>
      <c r="T514" t="e">
        <f t="shared" ref="T514" si="497">((O514-S514)/O514)*100</f>
        <v>#DIV/0!</v>
      </c>
      <c r="U514" t="e">
        <f t="shared" si="434"/>
        <v>#DIV/0!</v>
      </c>
      <c r="V514" t="e">
        <f>L514*(U514/100)</f>
        <v>#DIV/0!</v>
      </c>
    </row>
    <row r="515" spans="1:22">
      <c r="A515">
        <v>514</v>
      </c>
      <c r="B515" t="s">
        <v>32</v>
      </c>
      <c r="C515">
        <v>4</v>
      </c>
      <c r="D515" t="s">
        <v>23</v>
      </c>
      <c r="E515">
        <v>9</v>
      </c>
      <c r="F515" s="5" t="s">
        <v>25</v>
      </c>
      <c r="I515">
        <f>H515-G515</f>
        <v>0</v>
      </c>
      <c r="J515">
        <v>5</v>
      </c>
      <c r="K515">
        <f t="shared" ref="K515:K578" si="498">0.25*3.15*((7.62/2)^2)*J515</f>
        <v>57.157143750000003</v>
      </c>
      <c r="L515">
        <f t="shared" si="495"/>
        <v>0</v>
      </c>
      <c r="M515" s="4"/>
      <c r="N515" s="4"/>
      <c r="O515" s="4"/>
      <c r="P515" s="4"/>
      <c r="Q515" s="4"/>
      <c r="R515" s="4"/>
    </row>
    <row r="516" spans="1:22">
      <c r="A516">
        <v>515</v>
      </c>
      <c r="B516" t="s">
        <v>32</v>
      </c>
      <c r="C516">
        <v>4</v>
      </c>
      <c r="D516" t="s">
        <v>23</v>
      </c>
      <c r="E516">
        <v>9</v>
      </c>
      <c r="F516" s="5" t="s">
        <v>26</v>
      </c>
      <c r="I516">
        <f>H516-G516</f>
        <v>0</v>
      </c>
      <c r="J516">
        <v>5</v>
      </c>
      <c r="K516">
        <f t="shared" si="498"/>
        <v>57.157143750000003</v>
      </c>
      <c r="L516">
        <f t="shared" si="495"/>
        <v>0</v>
      </c>
      <c r="S516">
        <f t="shared" ref="S516" si="499">R516-N516</f>
        <v>0</v>
      </c>
      <c r="T516" t="e">
        <f t="shared" ref="T516" si="500">((O516-S516)/O516)*100</f>
        <v>#DIV/0!</v>
      </c>
      <c r="U516" t="e">
        <f t="shared" ref="U516:U578" si="501">-0.63+0.4*T516</f>
        <v>#DIV/0!</v>
      </c>
      <c r="V516" t="e">
        <f>L516*(U516/100)</f>
        <v>#DIV/0!</v>
      </c>
    </row>
    <row r="517" spans="1:22">
      <c r="A517">
        <v>516</v>
      </c>
      <c r="B517" t="s">
        <v>32</v>
      </c>
      <c r="C517">
        <v>4</v>
      </c>
      <c r="D517" t="s">
        <v>23</v>
      </c>
      <c r="E517">
        <v>9</v>
      </c>
      <c r="F517" s="5" t="s">
        <v>27</v>
      </c>
      <c r="I517">
        <f>H517-G517</f>
        <v>0</v>
      </c>
      <c r="J517">
        <v>5</v>
      </c>
      <c r="K517">
        <f t="shared" si="498"/>
        <v>57.157143750000003</v>
      </c>
      <c r="L517">
        <f t="shared" si="495"/>
        <v>0</v>
      </c>
      <c r="M517" s="4"/>
      <c r="N517" s="4"/>
      <c r="O517" s="4"/>
      <c r="P517" s="4"/>
      <c r="Q517" s="4"/>
      <c r="R517" s="4"/>
    </row>
    <row r="518" spans="1:22">
      <c r="A518">
        <v>517</v>
      </c>
      <c r="B518" t="s">
        <v>32</v>
      </c>
      <c r="C518">
        <v>4</v>
      </c>
      <c r="D518" t="s">
        <v>28</v>
      </c>
      <c r="E518">
        <v>9</v>
      </c>
      <c r="F518" s="5" t="s">
        <v>24</v>
      </c>
      <c r="I518">
        <f>H518-G518</f>
        <v>0</v>
      </c>
      <c r="J518">
        <v>5</v>
      </c>
      <c r="K518">
        <f t="shared" si="498"/>
        <v>57.157143750000003</v>
      </c>
      <c r="L518">
        <f t="shared" si="495"/>
        <v>0</v>
      </c>
      <c r="S518">
        <f t="shared" ref="S518" si="502">R518-N518</f>
        <v>0</v>
      </c>
      <c r="T518" t="e">
        <f t="shared" ref="T518" si="503">((O518-S518)/O518)*100</f>
        <v>#DIV/0!</v>
      </c>
      <c r="U518" t="e">
        <f t="shared" si="501"/>
        <v>#DIV/0!</v>
      </c>
      <c r="V518" t="e">
        <f>L518*(U518/100)</f>
        <v>#DIV/0!</v>
      </c>
    </row>
    <row r="519" spans="1:22">
      <c r="A519">
        <v>518</v>
      </c>
      <c r="B519" t="s">
        <v>32</v>
      </c>
      <c r="C519">
        <v>4</v>
      </c>
      <c r="D519" t="s">
        <v>28</v>
      </c>
      <c r="E519">
        <v>9</v>
      </c>
      <c r="F519" s="5" t="s">
        <v>25</v>
      </c>
      <c r="I519">
        <f>H519-G519</f>
        <v>0</v>
      </c>
      <c r="J519">
        <v>5</v>
      </c>
      <c r="K519">
        <f t="shared" si="498"/>
        <v>57.157143750000003</v>
      </c>
      <c r="L519">
        <f t="shared" si="495"/>
        <v>0</v>
      </c>
      <c r="M519" s="4"/>
      <c r="N519" s="4"/>
      <c r="O519" s="4"/>
      <c r="P519" s="4"/>
      <c r="Q519" s="4"/>
      <c r="R519" s="4"/>
    </row>
    <row r="520" spans="1:22">
      <c r="A520">
        <v>519</v>
      </c>
      <c r="B520" t="s">
        <v>32</v>
      </c>
      <c r="C520">
        <v>4</v>
      </c>
      <c r="D520" t="s">
        <v>28</v>
      </c>
      <c r="E520">
        <v>9</v>
      </c>
      <c r="F520" s="5" t="s">
        <v>26</v>
      </c>
      <c r="I520">
        <f>H520-G520</f>
        <v>0</v>
      </c>
      <c r="J520">
        <v>5</v>
      </c>
      <c r="K520">
        <f t="shared" si="498"/>
        <v>57.157143750000003</v>
      </c>
      <c r="L520">
        <f t="shared" si="495"/>
        <v>0</v>
      </c>
      <c r="S520">
        <f t="shared" ref="S520" si="504">R520-N520</f>
        <v>0</v>
      </c>
      <c r="T520" t="e">
        <f t="shared" ref="T520" si="505">((O520-S520)/O520)*100</f>
        <v>#DIV/0!</v>
      </c>
      <c r="U520" t="e">
        <f t="shared" si="501"/>
        <v>#DIV/0!</v>
      </c>
      <c r="V520" t="e">
        <f>L520*(U520/100)</f>
        <v>#DIV/0!</v>
      </c>
    </row>
    <row r="521" spans="1:22">
      <c r="A521">
        <v>520</v>
      </c>
      <c r="B521" t="s">
        <v>32</v>
      </c>
      <c r="C521">
        <v>4</v>
      </c>
      <c r="D521" t="s">
        <v>28</v>
      </c>
      <c r="E521">
        <v>9</v>
      </c>
      <c r="F521" s="5" t="s">
        <v>27</v>
      </c>
      <c r="I521">
        <f>H521-G521</f>
        <v>0</v>
      </c>
      <c r="J521">
        <v>5</v>
      </c>
      <c r="K521">
        <f t="shared" si="498"/>
        <v>57.157143750000003</v>
      </c>
      <c r="L521">
        <f t="shared" si="495"/>
        <v>0</v>
      </c>
      <c r="M521" s="4"/>
      <c r="N521" s="4"/>
      <c r="O521" s="4"/>
      <c r="P521" s="4"/>
      <c r="Q521" s="4"/>
      <c r="R521" s="4"/>
    </row>
    <row r="522" spans="1:22">
      <c r="A522">
        <v>521</v>
      </c>
      <c r="B522" t="s">
        <v>32</v>
      </c>
      <c r="C522">
        <v>4</v>
      </c>
      <c r="D522" t="s">
        <v>29</v>
      </c>
      <c r="E522">
        <v>9</v>
      </c>
      <c r="F522" s="5" t="s">
        <v>24</v>
      </c>
      <c r="I522">
        <f>H522-G522</f>
        <v>0</v>
      </c>
      <c r="J522">
        <v>5</v>
      </c>
      <c r="K522">
        <f t="shared" si="498"/>
        <v>57.157143750000003</v>
      </c>
      <c r="L522">
        <f t="shared" si="495"/>
        <v>0</v>
      </c>
      <c r="S522">
        <f t="shared" ref="S522" si="506">R522-N522</f>
        <v>0</v>
      </c>
      <c r="T522" t="e">
        <f t="shared" ref="T522" si="507">((O522-S522)/O522)*100</f>
        <v>#DIV/0!</v>
      </c>
      <c r="U522" t="e">
        <f t="shared" si="501"/>
        <v>#DIV/0!</v>
      </c>
      <c r="V522" t="e">
        <f>L522*(U522/100)</f>
        <v>#DIV/0!</v>
      </c>
    </row>
    <row r="523" spans="1:22">
      <c r="A523">
        <v>522</v>
      </c>
      <c r="B523" t="s">
        <v>32</v>
      </c>
      <c r="C523">
        <v>4</v>
      </c>
      <c r="D523" s="5" t="s">
        <v>29</v>
      </c>
      <c r="E523">
        <v>9</v>
      </c>
      <c r="F523" s="5" t="s">
        <v>25</v>
      </c>
      <c r="I523">
        <f>H523-G523</f>
        <v>0</v>
      </c>
      <c r="J523">
        <v>5</v>
      </c>
      <c r="K523">
        <f t="shared" si="498"/>
        <v>57.157143750000003</v>
      </c>
      <c r="L523">
        <f t="shared" si="495"/>
        <v>0</v>
      </c>
      <c r="M523" s="4"/>
      <c r="N523" s="4"/>
      <c r="O523" s="4"/>
      <c r="P523" s="4"/>
      <c r="Q523" s="4"/>
      <c r="R523" s="4"/>
    </row>
    <row r="524" spans="1:22">
      <c r="A524">
        <v>523</v>
      </c>
      <c r="B524" t="s">
        <v>32</v>
      </c>
      <c r="C524">
        <v>4</v>
      </c>
      <c r="D524" t="s">
        <v>29</v>
      </c>
      <c r="E524">
        <v>9</v>
      </c>
      <c r="F524" s="5" t="s">
        <v>26</v>
      </c>
      <c r="I524">
        <f>H524-G524</f>
        <v>0</v>
      </c>
      <c r="J524">
        <v>5</v>
      </c>
      <c r="K524">
        <f t="shared" si="498"/>
        <v>57.157143750000003</v>
      </c>
      <c r="L524">
        <f t="shared" si="495"/>
        <v>0</v>
      </c>
      <c r="S524">
        <f t="shared" ref="S524" si="508">R524-N524</f>
        <v>0</v>
      </c>
      <c r="T524" t="e">
        <f t="shared" ref="T524" si="509">((O524-S524)/O524)*100</f>
        <v>#DIV/0!</v>
      </c>
      <c r="U524" t="e">
        <f t="shared" si="501"/>
        <v>#DIV/0!</v>
      </c>
      <c r="V524" t="e">
        <f>L524*(U524/100)</f>
        <v>#DIV/0!</v>
      </c>
    </row>
    <row r="525" spans="1:22">
      <c r="A525">
        <v>524</v>
      </c>
      <c r="B525" t="s">
        <v>32</v>
      </c>
      <c r="C525">
        <v>4</v>
      </c>
      <c r="D525" s="5" t="s">
        <v>29</v>
      </c>
      <c r="E525">
        <v>9</v>
      </c>
      <c r="F525" s="5" t="s">
        <v>27</v>
      </c>
      <c r="I525">
        <f>H525-G525</f>
        <v>0</v>
      </c>
      <c r="J525">
        <v>5</v>
      </c>
      <c r="K525">
        <f t="shared" si="498"/>
        <v>57.157143750000003</v>
      </c>
      <c r="L525">
        <f t="shared" si="495"/>
        <v>0</v>
      </c>
      <c r="M525" s="4"/>
      <c r="N525" s="4"/>
      <c r="O525" s="4"/>
      <c r="P525" s="4"/>
      <c r="Q525" s="4"/>
      <c r="R525" s="4"/>
    </row>
    <row r="526" spans="1:22">
      <c r="A526">
        <v>525</v>
      </c>
      <c r="B526" t="s">
        <v>32</v>
      </c>
      <c r="C526">
        <v>4</v>
      </c>
      <c r="D526" t="s">
        <v>30</v>
      </c>
      <c r="E526">
        <v>9</v>
      </c>
      <c r="F526" s="5" t="s">
        <v>24</v>
      </c>
      <c r="I526">
        <f>H526-G526</f>
        <v>0</v>
      </c>
      <c r="J526">
        <v>5</v>
      </c>
      <c r="K526">
        <f t="shared" si="498"/>
        <v>57.157143750000003</v>
      </c>
      <c r="L526">
        <f t="shared" si="495"/>
        <v>0</v>
      </c>
      <c r="S526">
        <f t="shared" ref="S526" si="510">R526-N526</f>
        <v>0</v>
      </c>
      <c r="T526" t="e">
        <f t="shared" ref="T526" si="511">((O526-S526)/O526)*100</f>
        <v>#DIV/0!</v>
      </c>
      <c r="U526" t="e">
        <f t="shared" si="501"/>
        <v>#DIV/0!</v>
      </c>
      <c r="V526" t="e">
        <f>L526*(U526/100)</f>
        <v>#DIV/0!</v>
      </c>
    </row>
    <row r="527" spans="1:22">
      <c r="A527">
        <v>526</v>
      </c>
      <c r="B527" t="s">
        <v>32</v>
      </c>
      <c r="C527">
        <v>4</v>
      </c>
      <c r="D527" s="5" t="s">
        <v>30</v>
      </c>
      <c r="E527">
        <v>9</v>
      </c>
      <c r="F527" s="5" t="s">
        <v>25</v>
      </c>
      <c r="I527">
        <f>H527-G527</f>
        <v>0</v>
      </c>
      <c r="J527">
        <v>5</v>
      </c>
      <c r="K527">
        <f t="shared" si="498"/>
        <v>57.157143750000003</v>
      </c>
      <c r="L527">
        <f t="shared" si="495"/>
        <v>0</v>
      </c>
      <c r="M527" s="4"/>
      <c r="N527" s="4"/>
      <c r="O527" s="4"/>
      <c r="P527" s="4"/>
      <c r="Q527" s="4"/>
      <c r="R527" s="4"/>
    </row>
    <row r="528" spans="1:22">
      <c r="A528">
        <v>527</v>
      </c>
      <c r="B528" t="s">
        <v>32</v>
      </c>
      <c r="C528">
        <v>4</v>
      </c>
      <c r="D528" t="s">
        <v>30</v>
      </c>
      <c r="E528">
        <v>9</v>
      </c>
      <c r="F528" s="5" t="s">
        <v>26</v>
      </c>
      <c r="I528">
        <f>H528-G528</f>
        <v>0</v>
      </c>
      <c r="J528">
        <v>5</v>
      </c>
      <c r="K528">
        <f t="shared" si="498"/>
        <v>57.157143750000003</v>
      </c>
      <c r="L528">
        <f t="shared" si="495"/>
        <v>0</v>
      </c>
      <c r="S528">
        <f t="shared" ref="S528" si="512">R528-N528</f>
        <v>0</v>
      </c>
      <c r="T528" t="e">
        <f t="shared" ref="T528" si="513">((O528-S528)/O528)*100</f>
        <v>#DIV/0!</v>
      </c>
      <c r="U528" t="e">
        <f t="shared" si="501"/>
        <v>#DIV/0!</v>
      </c>
      <c r="V528" t="e">
        <f>L528*(U528/100)</f>
        <v>#DIV/0!</v>
      </c>
    </row>
    <row r="529" spans="1:30">
      <c r="A529">
        <v>528</v>
      </c>
      <c r="B529" t="s">
        <v>32</v>
      </c>
      <c r="C529">
        <v>4</v>
      </c>
      <c r="D529" s="5" t="s">
        <v>30</v>
      </c>
      <c r="E529">
        <v>9</v>
      </c>
      <c r="F529" s="5" t="s">
        <v>27</v>
      </c>
      <c r="I529">
        <f>H529-G529</f>
        <v>0</v>
      </c>
      <c r="J529">
        <v>5</v>
      </c>
      <c r="K529">
        <f t="shared" si="498"/>
        <v>57.157143750000003</v>
      </c>
      <c r="L529">
        <f t="shared" si="495"/>
        <v>0</v>
      </c>
      <c r="M529" s="4"/>
      <c r="N529" s="4"/>
      <c r="O529" s="4"/>
      <c r="P529" s="4"/>
      <c r="Q529" s="4"/>
      <c r="R529" s="4"/>
    </row>
    <row r="530" spans="1:30">
      <c r="A530">
        <v>529</v>
      </c>
      <c r="B530" s="5" t="s">
        <v>33</v>
      </c>
      <c r="C530">
        <v>4</v>
      </c>
      <c r="D530" t="s">
        <v>23</v>
      </c>
      <c r="E530">
        <v>7</v>
      </c>
      <c r="F530" t="s">
        <v>24</v>
      </c>
      <c r="G530">
        <v>1.2970999999999999</v>
      </c>
      <c r="H530">
        <v>87.373699999999999</v>
      </c>
      <c r="I530">
        <f>H530-G530</f>
        <v>86.076599999999999</v>
      </c>
      <c r="J530">
        <v>5</v>
      </c>
      <c r="K530">
        <f t="shared" si="498"/>
        <v>57.157143750000003</v>
      </c>
      <c r="L530">
        <f>I530/K530</f>
        <v>1.5059639854729443</v>
      </c>
      <c r="M530">
        <v>203</v>
      </c>
      <c r="N530">
        <v>40.566699999999997</v>
      </c>
      <c r="O530">
        <v>15.5512</v>
      </c>
      <c r="P530">
        <f>O530+N530</f>
        <v>56.117899999999999</v>
      </c>
      <c r="Q530">
        <v>56.094099999999997</v>
      </c>
      <c r="R530">
        <v>55.778199999999998</v>
      </c>
      <c r="S530">
        <f t="shared" ref="S530:S533" si="514">R530-N530</f>
        <v>15.211500000000001</v>
      </c>
      <c r="T530">
        <f t="shared" ref="T530" si="515">((O530-S530)/O530)*100</f>
        <v>2.1843973455424583</v>
      </c>
      <c r="U530">
        <f t="shared" si="501"/>
        <v>0.24375893821698336</v>
      </c>
      <c r="V530">
        <f>L530*(U530/100)</f>
        <v>3.6709218209190144E-3</v>
      </c>
    </row>
    <row r="531" spans="1:30">
      <c r="A531">
        <v>530</v>
      </c>
      <c r="B531" s="5" t="s">
        <v>33</v>
      </c>
      <c r="C531">
        <v>4</v>
      </c>
      <c r="D531" t="s">
        <v>23</v>
      </c>
      <c r="E531">
        <v>7</v>
      </c>
      <c r="F531" t="s">
        <v>25</v>
      </c>
      <c r="G531">
        <v>1.2896000000000001</v>
      </c>
      <c r="H531">
        <v>82.750699999999995</v>
      </c>
      <c r="I531">
        <f>H531-G531</f>
        <v>81.461099999999988</v>
      </c>
      <c r="J531">
        <v>5</v>
      </c>
      <c r="K531">
        <f t="shared" si="498"/>
        <v>57.157143750000003</v>
      </c>
      <c r="L531">
        <f t="shared" si="495"/>
        <v>1.4252129244999228</v>
      </c>
      <c r="M531" s="4"/>
      <c r="N531" s="4"/>
      <c r="O531" s="4"/>
      <c r="P531" s="4"/>
      <c r="Q531" s="4"/>
      <c r="R531" s="4"/>
      <c r="W531">
        <v>0</v>
      </c>
      <c r="X531">
        <v>0.47760000000000002</v>
      </c>
      <c r="Y531">
        <v>17.228999999999999</v>
      </c>
      <c r="Z531">
        <v>31.251899999999999</v>
      </c>
      <c r="AA531">
        <v>25.7666</v>
      </c>
      <c r="AB531">
        <v>5.3708999999999998</v>
      </c>
      <c r="AC531">
        <v>0.41710000000000003</v>
      </c>
      <c r="AD531">
        <v>0.41299999999999998</v>
      </c>
    </row>
    <row r="532" spans="1:30">
      <c r="A532">
        <v>531</v>
      </c>
      <c r="B532" s="5" t="s">
        <v>33</v>
      </c>
      <c r="C532">
        <v>4</v>
      </c>
      <c r="D532" t="s">
        <v>23</v>
      </c>
      <c r="E532">
        <v>7</v>
      </c>
      <c r="F532" t="s">
        <v>26</v>
      </c>
      <c r="G532">
        <v>1.2910999999999999</v>
      </c>
      <c r="H532">
        <v>77.269099999999995</v>
      </c>
      <c r="I532">
        <f>H532-G532</f>
        <v>75.977999999999994</v>
      </c>
      <c r="J532">
        <v>5</v>
      </c>
      <c r="K532">
        <f t="shared" si="498"/>
        <v>57.157143750000003</v>
      </c>
      <c r="L532">
        <f t="shared" si="495"/>
        <v>1.329282658565317</v>
      </c>
      <c r="M532">
        <v>160</v>
      </c>
      <c r="N532">
        <v>38.9086</v>
      </c>
      <c r="O532">
        <v>15.854699999999999</v>
      </c>
      <c r="P532">
        <f t="shared" ref="P532" si="516">O532+N532</f>
        <v>54.763300000000001</v>
      </c>
      <c r="Q532">
        <v>54.731200000000001</v>
      </c>
      <c r="R532">
        <v>54.416699999999999</v>
      </c>
      <c r="S532">
        <f t="shared" si="514"/>
        <v>15.508099999999999</v>
      </c>
      <c r="T532">
        <f t="shared" ref="T532" si="517">((O532-S532)/O532)*100</f>
        <v>2.1861025437252075</v>
      </c>
      <c r="U532">
        <f t="shared" si="501"/>
        <v>0.24444101749008307</v>
      </c>
      <c r="V532">
        <f>L532*(U532/100)</f>
        <v>3.2493120559162875E-3</v>
      </c>
    </row>
    <row r="533" spans="1:30">
      <c r="A533">
        <v>532</v>
      </c>
      <c r="B533" s="5" t="s">
        <v>33</v>
      </c>
      <c r="C533">
        <v>4</v>
      </c>
      <c r="D533" t="s">
        <v>23</v>
      </c>
      <c r="E533">
        <v>7</v>
      </c>
      <c r="F533" t="s">
        <v>27</v>
      </c>
      <c r="G533">
        <v>1.2834000000000001</v>
      </c>
      <c r="H533">
        <v>74.448800000000006</v>
      </c>
      <c r="I533">
        <f>H533-G533</f>
        <v>73.165400000000005</v>
      </c>
      <c r="J533">
        <v>5</v>
      </c>
      <c r="K533">
        <f t="shared" si="498"/>
        <v>57.157143750000003</v>
      </c>
      <c r="L533">
        <f t="shared" si="495"/>
        <v>1.2800744613834907</v>
      </c>
      <c r="M533" s="4"/>
      <c r="N533" s="4"/>
      <c r="O533" s="4"/>
      <c r="P533" s="4"/>
      <c r="Q533" s="4"/>
      <c r="R533" s="4"/>
      <c r="W533">
        <v>0</v>
      </c>
      <c r="X533">
        <v>0.35349999999999998</v>
      </c>
      <c r="Y533">
        <v>10.341799999999999</v>
      </c>
      <c r="Z533">
        <v>24.6785</v>
      </c>
      <c r="AA533">
        <v>28.5122</v>
      </c>
      <c r="AB533">
        <v>7.5056000000000003</v>
      </c>
      <c r="AC533">
        <v>0.58630000000000004</v>
      </c>
      <c r="AD533">
        <v>0.41160000000000002</v>
      </c>
    </row>
    <row r="534" spans="1:30">
      <c r="A534">
        <v>533</v>
      </c>
      <c r="B534" s="5" t="s">
        <v>33</v>
      </c>
      <c r="C534">
        <v>4</v>
      </c>
      <c r="D534" t="s">
        <v>28</v>
      </c>
      <c r="E534">
        <v>7</v>
      </c>
      <c r="F534" t="s">
        <v>24</v>
      </c>
      <c r="G534">
        <v>1.2677</v>
      </c>
      <c r="H534">
        <v>74.877300000000005</v>
      </c>
      <c r="I534">
        <f>H534-G534</f>
        <v>73.6096</v>
      </c>
      <c r="J534">
        <v>5</v>
      </c>
      <c r="K534">
        <f t="shared" si="498"/>
        <v>57.157143750000003</v>
      </c>
      <c r="L534">
        <f t="shared" si="495"/>
        <v>1.2878460183728127</v>
      </c>
      <c r="M534">
        <v>205</v>
      </c>
      <c r="N534">
        <v>39.578699999999998</v>
      </c>
      <c r="O534">
        <v>15.3812</v>
      </c>
      <c r="P534">
        <f t="shared" ref="P534" si="518">O534+N534</f>
        <v>54.959899999999998</v>
      </c>
      <c r="Q534">
        <v>54.933700000000002</v>
      </c>
      <c r="R534">
        <v>54.6357</v>
      </c>
      <c r="S534">
        <f t="shared" ref="S534" si="519">R534-N534</f>
        <v>15.057000000000002</v>
      </c>
      <c r="T534">
        <f t="shared" ref="T534" si="520">((O534-S534)/O534)*100</f>
        <v>2.1077679244792189</v>
      </c>
      <c r="U534">
        <f t="shared" si="501"/>
        <v>0.21310716979168765</v>
      </c>
      <c r="V534">
        <f>L534*(U534/100)</f>
        <v>2.7444922010292391E-3</v>
      </c>
    </row>
    <row r="535" spans="1:30">
      <c r="A535">
        <v>534</v>
      </c>
      <c r="B535" s="5" t="s">
        <v>33</v>
      </c>
      <c r="C535">
        <v>4</v>
      </c>
      <c r="D535" t="s">
        <v>28</v>
      </c>
      <c r="E535">
        <v>7</v>
      </c>
      <c r="F535" t="s">
        <v>25</v>
      </c>
      <c r="G535">
        <v>1.2739</v>
      </c>
      <c r="H535">
        <v>74.391400000000004</v>
      </c>
      <c r="I535">
        <f>H535-G535</f>
        <v>73.117500000000007</v>
      </c>
      <c r="J535">
        <v>5</v>
      </c>
      <c r="K535">
        <f t="shared" si="498"/>
        <v>57.157143750000003</v>
      </c>
      <c r="L535">
        <f t="shared" si="495"/>
        <v>1.2792364209067042</v>
      </c>
      <c r="M535" s="4"/>
      <c r="N535" s="4"/>
      <c r="O535" s="4"/>
      <c r="P535" s="4"/>
      <c r="Q535" s="4"/>
      <c r="R535" s="4"/>
      <c r="W535">
        <v>0</v>
      </c>
      <c r="X535">
        <v>0.28120000000000001</v>
      </c>
      <c r="Y535">
        <v>12.2637</v>
      </c>
      <c r="Z535">
        <v>28.5185</v>
      </c>
      <c r="AA535">
        <v>26.0153</v>
      </c>
      <c r="AB535">
        <v>4.8360000000000003</v>
      </c>
      <c r="AC535">
        <v>0.35980000000000001</v>
      </c>
      <c r="AD535">
        <v>0.23369999999999999</v>
      </c>
    </row>
    <row r="536" spans="1:30">
      <c r="A536">
        <v>535</v>
      </c>
      <c r="B536" s="5" t="s">
        <v>33</v>
      </c>
      <c r="C536">
        <v>4</v>
      </c>
      <c r="D536" t="s">
        <v>28</v>
      </c>
      <c r="E536">
        <v>7</v>
      </c>
      <c r="F536" t="s">
        <v>26</v>
      </c>
      <c r="G536">
        <v>1.2742</v>
      </c>
      <c r="H536">
        <v>68.491699999999994</v>
      </c>
      <c r="I536">
        <f>H536-G536</f>
        <v>67.217500000000001</v>
      </c>
      <c r="J536">
        <v>5</v>
      </c>
      <c r="K536">
        <f t="shared" si="498"/>
        <v>57.157143750000003</v>
      </c>
      <c r="L536">
        <f t="shared" si="495"/>
        <v>1.1760122285676671</v>
      </c>
      <c r="M536">
        <v>158</v>
      </c>
      <c r="N536">
        <v>38.188000000000002</v>
      </c>
      <c r="O536">
        <v>15.4978</v>
      </c>
      <c r="P536">
        <f t="shared" ref="P536" si="521">O536+N536</f>
        <v>53.6858</v>
      </c>
      <c r="Q536">
        <v>53.653700000000001</v>
      </c>
      <c r="R536">
        <v>53.340600000000002</v>
      </c>
      <c r="S536">
        <f t="shared" ref="S536" si="522">R536-N536</f>
        <v>15.1526</v>
      </c>
      <c r="T536">
        <f t="shared" ref="T536" si="523">((O536-S536)/O536)*100</f>
        <v>2.2274129231245738</v>
      </c>
      <c r="U536">
        <f t="shared" si="501"/>
        <v>0.2609651692498296</v>
      </c>
      <c r="V536">
        <f>L536*(U536/100)</f>
        <v>3.0689823026803049E-3</v>
      </c>
    </row>
    <row r="537" spans="1:30">
      <c r="A537">
        <v>536</v>
      </c>
      <c r="B537" s="5" t="s">
        <v>33</v>
      </c>
      <c r="C537">
        <v>4</v>
      </c>
      <c r="D537" t="s">
        <v>28</v>
      </c>
      <c r="E537">
        <v>7</v>
      </c>
      <c r="F537" t="s">
        <v>27</v>
      </c>
      <c r="G537">
        <v>1.2821</v>
      </c>
      <c r="H537">
        <v>75.665400000000005</v>
      </c>
      <c r="I537">
        <f>H537-G537</f>
        <v>74.383300000000006</v>
      </c>
      <c r="J537">
        <v>5</v>
      </c>
      <c r="K537">
        <f t="shared" si="498"/>
        <v>57.157143750000003</v>
      </c>
      <c r="L537">
        <f t="shared" si="495"/>
        <v>1.3013823840698828</v>
      </c>
      <c r="M537" s="4"/>
      <c r="N537" s="4"/>
      <c r="O537" s="4"/>
      <c r="P537" s="4"/>
      <c r="Q537" s="4"/>
      <c r="R537" s="4"/>
      <c r="W537">
        <v>0</v>
      </c>
      <c r="X537">
        <v>1.6620999999999999</v>
      </c>
      <c r="Y537">
        <v>16.264399999999998</v>
      </c>
      <c r="Z537">
        <v>26.361499999999999</v>
      </c>
      <c r="AA537">
        <v>22.8767</v>
      </c>
      <c r="AB537">
        <v>4.8811999999999998</v>
      </c>
      <c r="AC537">
        <v>0.42370000000000002</v>
      </c>
      <c r="AD537">
        <v>0.46160000000000001</v>
      </c>
    </row>
    <row r="538" spans="1:30">
      <c r="A538">
        <v>537</v>
      </c>
      <c r="B538" s="5" t="s">
        <v>33</v>
      </c>
      <c r="C538">
        <v>4</v>
      </c>
      <c r="D538" t="s">
        <v>29</v>
      </c>
      <c r="E538">
        <v>7</v>
      </c>
      <c r="F538" t="s">
        <v>24</v>
      </c>
      <c r="G538">
        <v>1.2693000000000001</v>
      </c>
      <c r="H538">
        <v>72.386499999999998</v>
      </c>
      <c r="I538">
        <f>H538-G538</f>
        <v>71.117199999999997</v>
      </c>
      <c r="J538">
        <v>5</v>
      </c>
      <c r="K538">
        <f t="shared" si="498"/>
        <v>57.157143750000003</v>
      </c>
      <c r="L538">
        <f t="shared" si="495"/>
        <v>1.2442399205786066</v>
      </c>
      <c r="M538">
        <v>206</v>
      </c>
      <c r="N538">
        <v>41.215600000000002</v>
      </c>
      <c r="O538">
        <v>15.7834</v>
      </c>
      <c r="P538">
        <f t="shared" ref="P538" si="524">O538+N538</f>
        <v>56.999000000000002</v>
      </c>
      <c r="Q538">
        <v>56.972799999999999</v>
      </c>
      <c r="R538">
        <v>56.687899999999999</v>
      </c>
      <c r="S538">
        <f t="shared" ref="S538" si="525">R538-N538</f>
        <v>15.472299999999997</v>
      </c>
      <c r="T538">
        <f t="shared" ref="T538" si="526">((O538-S538)/O538)*100</f>
        <v>1.9710582003877697</v>
      </c>
      <c r="U538">
        <f t="shared" si="501"/>
        <v>0.15842328015510787</v>
      </c>
      <c r="V538">
        <f>L538*(U538/100)</f>
        <v>1.9711656951799375E-3</v>
      </c>
    </row>
    <row r="539" spans="1:30">
      <c r="A539">
        <v>538</v>
      </c>
      <c r="B539" s="5" t="s">
        <v>33</v>
      </c>
      <c r="C539">
        <v>4</v>
      </c>
      <c r="D539" s="5" t="s">
        <v>29</v>
      </c>
      <c r="E539">
        <v>7</v>
      </c>
      <c r="F539" t="s">
        <v>25</v>
      </c>
      <c r="G539">
        <v>1.2624</v>
      </c>
      <c r="H539">
        <v>81.156499999999994</v>
      </c>
      <c r="I539">
        <f>H539-G539</f>
        <v>79.894099999999995</v>
      </c>
      <c r="J539">
        <v>5</v>
      </c>
      <c r="K539">
        <f t="shared" si="498"/>
        <v>57.157143750000003</v>
      </c>
      <c r="L539">
        <f t="shared" si="495"/>
        <v>1.3977972788397075</v>
      </c>
      <c r="M539" s="4"/>
      <c r="N539" s="4"/>
      <c r="O539" s="4"/>
      <c r="P539" s="4"/>
      <c r="Q539" s="4"/>
      <c r="R539" s="4"/>
      <c r="W539">
        <v>0</v>
      </c>
      <c r="X539">
        <v>0.34300000000000003</v>
      </c>
      <c r="Y539">
        <v>22.514900000000001</v>
      </c>
      <c r="Z539">
        <v>30.4833</v>
      </c>
      <c r="AA539">
        <v>20.1065</v>
      </c>
      <c r="AB539">
        <v>5.3311000000000002</v>
      </c>
      <c r="AC539">
        <v>0.34610000000000002</v>
      </c>
      <c r="AD539">
        <v>0.1966</v>
      </c>
    </row>
    <row r="540" spans="1:30">
      <c r="A540">
        <v>539</v>
      </c>
      <c r="B540" s="5" t="s">
        <v>33</v>
      </c>
      <c r="C540">
        <v>4</v>
      </c>
      <c r="D540" t="s">
        <v>29</v>
      </c>
      <c r="E540">
        <v>7</v>
      </c>
      <c r="F540" t="s">
        <v>26</v>
      </c>
      <c r="G540">
        <v>1.2769999999999999</v>
      </c>
      <c r="H540">
        <v>70.466800000000006</v>
      </c>
      <c r="I540">
        <f>H540-G540</f>
        <v>69.189800000000005</v>
      </c>
      <c r="J540">
        <v>5</v>
      </c>
      <c r="K540">
        <f t="shared" si="498"/>
        <v>57.157143750000003</v>
      </c>
      <c r="L540">
        <f t="shared" si="495"/>
        <v>1.2105188513727998</v>
      </c>
      <c r="M540">
        <v>310</v>
      </c>
      <c r="N540">
        <v>42.601199999999999</v>
      </c>
      <c r="O540">
        <v>15.5985</v>
      </c>
      <c r="P540">
        <f t="shared" ref="P540" si="527">O540+N540</f>
        <v>58.1997</v>
      </c>
      <c r="Q540">
        <v>58.170299999999997</v>
      </c>
      <c r="R540">
        <v>57.867699999999999</v>
      </c>
      <c r="S540">
        <f t="shared" ref="S540" si="528">R540-N540</f>
        <v>15.266500000000001</v>
      </c>
      <c r="T540">
        <f t="shared" ref="T540" si="529">((O540-S540)/O540)*100</f>
        <v>2.1284097829919477</v>
      </c>
      <c r="U540">
        <f t="shared" si="501"/>
        <v>0.22136391319677917</v>
      </c>
      <c r="V540">
        <f>L540*(U540/100)</f>
        <v>2.6796518993835328E-3</v>
      </c>
    </row>
    <row r="541" spans="1:30">
      <c r="A541">
        <v>540</v>
      </c>
      <c r="B541" s="5" t="s">
        <v>33</v>
      </c>
      <c r="C541">
        <v>4</v>
      </c>
      <c r="D541" s="5" t="s">
        <v>29</v>
      </c>
      <c r="E541">
        <v>7</v>
      </c>
      <c r="F541" t="s">
        <v>27</v>
      </c>
      <c r="G541">
        <v>1.2718</v>
      </c>
      <c r="H541">
        <v>69.803899999999999</v>
      </c>
      <c r="I541">
        <f>H541-G541</f>
        <v>68.5321</v>
      </c>
      <c r="J541">
        <v>5</v>
      </c>
      <c r="K541">
        <f t="shared" si="498"/>
        <v>57.157143750000003</v>
      </c>
      <c r="L541">
        <f t="shared" si="495"/>
        <v>1.1990119782708701</v>
      </c>
      <c r="M541" s="4"/>
      <c r="N541" s="4"/>
      <c r="O541" s="4"/>
      <c r="P541" s="4"/>
      <c r="Q541" s="4"/>
      <c r="R541" s="4"/>
      <c r="W541">
        <v>0</v>
      </c>
      <c r="X541">
        <v>0.56240000000000001</v>
      </c>
      <c r="Y541">
        <v>16.271000000000001</v>
      </c>
      <c r="Z541">
        <v>22.7698</v>
      </c>
      <c r="AA541">
        <v>20.364999999999998</v>
      </c>
      <c r="AB541">
        <v>7.2126999999999999</v>
      </c>
      <c r="AC541">
        <v>0.55700000000000005</v>
      </c>
      <c r="AD541">
        <v>0.23100000000000001</v>
      </c>
    </row>
    <row r="542" spans="1:30">
      <c r="A542">
        <v>541</v>
      </c>
      <c r="B542" s="5" t="s">
        <v>33</v>
      </c>
      <c r="C542">
        <v>4</v>
      </c>
      <c r="D542" t="s">
        <v>30</v>
      </c>
      <c r="E542">
        <v>7</v>
      </c>
      <c r="F542" t="s">
        <v>24</v>
      </c>
      <c r="G542">
        <v>1.2761</v>
      </c>
      <c r="H542">
        <v>74.256299999999996</v>
      </c>
      <c r="I542">
        <f>H542-G542</f>
        <v>72.980199999999996</v>
      </c>
      <c r="J542">
        <v>5</v>
      </c>
      <c r="K542">
        <f t="shared" si="498"/>
        <v>57.157143750000003</v>
      </c>
      <c r="L542">
        <f t="shared" si="495"/>
        <v>1.2768342714815939</v>
      </c>
      <c r="M542">
        <v>236</v>
      </c>
      <c r="N542">
        <v>39.637099999999997</v>
      </c>
      <c r="O542">
        <v>15.657400000000001</v>
      </c>
      <c r="P542">
        <f t="shared" ref="P542" si="530">O542+N542</f>
        <v>55.294499999999999</v>
      </c>
      <c r="Q542">
        <v>55.267800000000001</v>
      </c>
      <c r="R542">
        <v>54.9589</v>
      </c>
      <c r="S542">
        <f t="shared" ref="S542" si="531">R542-N542</f>
        <v>15.321800000000003</v>
      </c>
      <c r="T542">
        <f t="shared" ref="T542" si="532">((O542-S542)/O542)*100</f>
        <v>2.1433954551841152</v>
      </c>
      <c r="U542">
        <f t="shared" si="501"/>
        <v>0.22735818207364611</v>
      </c>
      <c r="V542">
        <f>L542*(U542/100)</f>
        <v>2.9029871877338351E-3</v>
      </c>
    </row>
    <row r="543" spans="1:30">
      <c r="A543">
        <v>542</v>
      </c>
      <c r="B543" s="5" t="s">
        <v>33</v>
      </c>
      <c r="C543">
        <v>4</v>
      </c>
      <c r="D543" s="5" t="s">
        <v>30</v>
      </c>
      <c r="E543">
        <v>7</v>
      </c>
      <c r="F543" t="s">
        <v>25</v>
      </c>
      <c r="G543">
        <v>1.2737000000000001</v>
      </c>
      <c r="H543">
        <v>68.303200000000004</v>
      </c>
      <c r="I543">
        <f>H543-G543</f>
        <v>67.029499999999999</v>
      </c>
      <c r="J543">
        <v>5</v>
      </c>
      <c r="K543">
        <f t="shared" si="498"/>
        <v>57.157143750000003</v>
      </c>
      <c r="L543">
        <f t="shared" si="495"/>
        <v>1.1727230509134738</v>
      </c>
      <c r="M543" s="4"/>
      <c r="N543" s="4"/>
      <c r="O543" s="4"/>
      <c r="P543" s="4"/>
      <c r="Q543" s="4"/>
      <c r="R543" s="4"/>
      <c r="W543">
        <v>0</v>
      </c>
      <c r="X543">
        <v>0.40739999999999998</v>
      </c>
      <c r="Y543">
        <v>15.9229</v>
      </c>
      <c r="Z543">
        <v>21.6798</v>
      </c>
      <c r="AA543">
        <v>20.7624</v>
      </c>
      <c r="AB543">
        <v>6.8288000000000002</v>
      </c>
      <c r="AC543">
        <v>0.52447999999999995</v>
      </c>
      <c r="AD543">
        <v>0.33389999999999997</v>
      </c>
    </row>
    <row r="544" spans="1:30">
      <c r="A544">
        <v>543</v>
      </c>
      <c r="B544" s="5" t="s">
        <v>33</v>
      </c>
      <c r="C544">
        <v>4</v>
      </c>
      <c r="D544" t="s">
        <v>30</v>
      </c>
      <c r="E544">
        <v>7</v>
      </c>
      <c r="F544" t="s">
        <v>26</v>
      </c>
      <c r="G544">
        <v>1.2701</v>
      </c>
      <c r="H544">
        <v>75.414699999999996</v>
      </c>
      <c r="I544">
        <f>H544-G544</f>
        <v>74.144599999999997</v>
      </c>
      <c r="J544">
        <v>5</v>
      </c>
      <c r="K544">
        <f t="shared" si="498"/>
        <v>57.157143750000003</v>
      </c>
      <c r="L544">
        <f t="shared" si="495"/>
        <v>1.2972061781866067</v>
      </c>
      <c r="M544">
        <v>165</v>
      </c>
      <c r="N544">
        <v>39.488300000000002</v>
      </c>
      <c r="O544">
        <v>15.710800000000001</v>
      </c>
      <c r="P544">
        <f t="shared" ref="P544" si="533">O544+N544</f>
        <v>55.199100000000001</v>
      </c>
      <c r="Q544">
        <v>55.170200000000001</v>
      </c>
      <c r="R544">
        <v>54.880099999999999</v>
      </c>
      <c r="S544">
        <f t="shared" ref="S544" si="534">R544-N544</f>
        <v>15.391799999999996</v>
      </c>
      <c r="T544">
        <f t="shared" ref="T544" si="535">((O544-S544)/O544)*100</f>
        <v>2.0304503908139901</v>
      </c>
      <c r="U544">
        <f t="shared" si="501"/>
        <v>0.18218015632559614</v>
      </c>
      <c r="V544">
        <f>L544*(U544/100)</f>
        <v>2.3632522432856513E-3</v>
      </c>
    </row>
    <row r="545" spans="1:30">
      <c r="A545">
        <v>544</v>
      </c>
      <c r="B545" s="5" t="s">
        <v>33</v>
      </c>
      <c r="C545">
        <v>4</v>
      </c>
      <c r="D545" s="5" t="s">
        <v>30</v>
      </c>
      <c r="E545">
        <v>7</v>
      </c>
      <c r="F545" t="s">
        <v>27</v>
      </c>
      <c r="G545">
        <v>1.2695000000000001</v>
      </c>
      <c r="H545">
        <v>68.430800000000005</v>
      </c>
      <c r="I545">
        <f>H545-G545</f>
        <v>67.161300000000011</v>
      </c>
      <c r="J545">
        <v>5</v>
      </c>
      <c r="K545">
        <f t="shared" si="498"/>
        <v>57.157143750000003</v>
      </c>
      <c r="L545">
        <f t="shared" si="495"/>
        <v>1.1750289743965732</v>
      </c>
      <c r="M545" s="4"/>
      <c r="N545" s="4"/>
      <c r="O545" s="4"/>
      <c r="P545" s="4"/>
      <c r="Q545" s="4"/>
      <c r="R545" s="4"/>
      <c r="W545">
        <v>0</v>
      </c>
      <c r="X545">
        <v>1.35623</v>
      </c>
      <c r="Y545">
        <v>17.822800000000001</v>
      </c>
      <c r="Z545">
        <v>25.882899999999999</v>
      </c>
      <c r="AA545">
        <v>16.300699999999999</v>
      </c>
      <c r="AB545">
        <v>4.5263999999999998</v>
      </c>
      <c r="AC545">
        <v>0.36149999999999999</v>
      </c>
      <c r="AD545">
        <v>0.21079999999999999</v>
      </c>
    </row>
    <row r="546" spans="1:30">
      <c r="A546">
        <v>545</v>
      </c>
      <c r="B546" s="5" t="s">
        <v>33</v>
      </c>
      <c r="C546">
        <v>4</v>
      </c>
      <c r="D546" t="s">
        <v>23</v>
      </c>
      <c r="E546">
        <v>8</v>
      </c>
      <c r="F546" s="5" t="s">
        <v>24</v>
      </c>
      <c r="G546">
        <v>1.2676000000000001</v>
      </c>
      <c r="H546">
        <v>66.387100000000004</v>
      </c>
      <c r="I546">
        <f>H546-G546</f>
        <v>65.119500000000002</v>
      </c>
      <c r="J546">
        <v>5</v>
      </c>
      <c r="K546">
        <f t="shared" si="498"/>
        <v>57.157143750000003</v>
      </c>
      <c r="L546">
        <f t="shared" si="495"/>
        <v>1.1393064055969382</v>
      </c>
      <c r="M546">
        <v>312</v>
      </c>
      <c r="N546">
        <v>40.551000000000002</v>
      </c>
      <c r="O546">
        <v>15.198700000000001</v>
      </c>
      <c r="P546">
        <f t="shared" ref="P546" si="536">O546+N546</f>
        <v>55.749700000000004</v>
      </c>
      <c r="Q546">
        <v>55.720999999999997</v>
      </c>
      <c r="R546">
        <v>55.430799999999998</v>
      </c>
      <c r="S546">
        <f t="shared" ref="S546" si="537">R546-N546</f>
        <v>14.879799999999996</v>
      </c>
      <c r="T546">
        <f t="shared" ref="T546" si="538">((O546-S546)/O546)*100</f>
        <v>2.098205767598575</v>
      </c>
      <c r="U546">
        <f t="shared" si="501"/>
        <v>0.20928230703943007</v>
      </c>
      <c r="V546">
        <f>L546*(U546/100)</f>
        <v>2.3843667298812789E-3</v>
      </c>
    </row>
    <row r="547" spans="1:30">
      <c r="A547">
        <v>546</v>
      </c>
      <c r="B547" s="5" t="s">
        <v>33</v>
      </c>
      <c r="C547">
        <v>4</v>
      </c>
      <c r="D547" t="s">
        <v>23</v>
      </c>
      <c r="E547">
        <v>8</v>
      </c>
      <c r="F547" s="5" t="s">
        <v>25</v>
      </c>
      <c r="G547">
        <v>1.2801</v>
      </c>
      <c r="H547">
        <v>69.292599999999993</v>
      </c>
      <c r="I547">
        <f>H547-G547</f>
        <v>68.012499999999989</v>
      </c>
      <c r="J547">
        <v>5</v>
      </c>
      <c r="K547">
        <f t="shared" si="498"/>
        <v>57.157143750000003</v>
      </c>
      <c r="L547">
        <f t="shared" si="495"/>
        <v>1.1899212510947066</v>
      </c>
      <c r="M547" s="4"/>
      <c r="N547" s="4"/>
      <c r="O547" s="4"/>
      <c r="P547" s="4"/>
      <c r="Q547" s="4"/>
      <c r="R547" s="4"/>
      <c r="W547">
        <v>0</v>
      </c>
      <c r="X547">
        <v>0.12634000000000001</v>
      </c>
      <c r="Y547">
        <v>15.741300000000001</v>
      </c>
      <c r="Z547">
        <v>37.0274</v>
      </c>
      <c r="AA547">
        <v>11.6591</v>
      </c>
      <c r="AB547">
        <v>2.6215999999999999</v>
      </c>
      <c r="AC547">
        <v>0.21809999999999999</v>
      </c>
      <c r="AD547">
        <v>0.19239999999999999</v>
      </c>
    </row>
    <row r="548" spans="1:30">
      <c r="A548">
        <v>547</v>
      </c>
      <c r="B548" s="5" t="s">
        <v>33</v>
      </c>
      <c r="C548">
        <v>4</v>
      </c>
      <c r="D548" t="s">
        <v>23</v>
      </c>
      <c r="E548">
        <v>8</v>
      </c>
      <c r="F548" s="5" t="s">
        <v>26</v>
      </c>
      <c r="G548">
        <v>1.2883</v>
      </c>
      <c r="H548">
        <v>69.005300000000005</v>
      </c>
      <c r="I548">
        <f>H548-G548</f>
        <v>67.716999999999999</v>
      </c>
      <c r="J548">
        <v>5</v>
      </c>
      <c r="K548">
        <f t="shared" si="498"/>
        <v>57.157143750000003</v>
      </c>
      <c r="L548">
        <f t="shared" si="495"/>
        <v>1.1847512936648448</v>
      </c>
      <c r="M548">
        <v>207</v>
      </c>
      <c r="N548">
        <v>38.231999999999999</v>
      </c>
      <c r="O548">
        <v>15.3766</v>
      </c>
      <c r="P548">
        <f t="shared" ref="P548" si="539">O548+N548</f>
        <v>53.608599999999996</v>
      </c>
      <c r="Q548">
        <v>53.579000000000001</v>
      </c>
      <c r="R548">
        <v>53.277799999999999</v>
      </c>
      <c r="S548">
        <f t="shared" ref="S548" si="540">R548-N548</f>
        <v>15.0458</v>
      </c>
      <c r="T548">
        <f t="shared" ref="T548" si="541">((O548-S548)/O548)*100</f>
        <v>2.1513208381566793</v>
      </c>
      <c r="U548">
        <f t="shared" si="501"/>
        <v>0.2305283352626718</v>
      </c>
      <c r="V548">
        <f>L548*(U548/100)</f>
        <v>2.7311874342885348E-3</v>
      </c>
    </row>
    <row r="549" spans="1:30">
      <c r="A549">
        <v>548</v>
      </c>
      <c r="B549" s="5" t="s">
        <v>33</v>
      </c>
      <c r="C549">
        <v>4</v>
      </c>
      <c r="D549" t="s">
        <v>23</v>
      </c>
      <c r="E549">
        <v>8</v>
      </c>
      <c r="F549" s="5" t="s">
        <v>27</v>
      </c>
      <c r="G549">
        <v>1.2823</v>
      </c>
      <c r="H549">
        <v>68.655100000000004</v>
      </c>
      <c r="I549">
        <f>H549-G549</f>
        <v>67.372799999999998</v>
      </c>
      <c r="J549">
        <v>5</v>
      </c>
      <c r="K549">
        <f t="shared" si="498"/>
        <v>57.157143750000003</v>
      </c>
      <c r="L549">
        <f t="shared" si="495"/>
        <v>1.1787292992575402</v>
      </c>
      <c r="M549" s="4"/>
      <c r="N549" s="4"/>
      <c r="O549" s="4"/>
      <c r="P549" s="4"/>
      <c r="Q549" s="4"/>
      <c r="R549" s="4"/>
      <c r="W549">
        <v>0</v>
      </c>
      <c r="X549">
        <v>2.1490999999999998</v>
      </c>
      <c r="Y549">
        <v>17.204799999999999</v>
      </c>
      <c r="Z549">
        <v>24.269600000000001</v>
      </c>
      <c r="AA549">
        <v>17.2699</v>
      </c>
      <c r="AB549">
        <v>4.9805999999999999</v>
      </c>
      <c r="AC549">
        <v>0.39229999999999998</v>
      </c>
      <c r="AD549">
        <v>0.3821</v>
      </c>
    </row>
    <row r="550" spans="1:30">
      <c r="A550">
        <v>549</v>
      </c>
      <c r="B550" s="5" t="s">
        <v>33</v>
      </c>
      <c r="C550">
        <v>4</v>
      </c>
      <c r="D550" t="s">
        <v>28</v>
      </c>
      <c r="E550">
        <v>8</v>
      </c>
      <c r="F550" s="5" t="s">
        <v>24</v>
      </c>
      <c r="G550">
        <v>1.2693000000000001</v>
      </c>
      <c r="H550">
        <v>63.680900000000001</v>
      </c>
      <c r="I550">
        <f>H550-G550</f>
        <v>62.4116</v>
      </c>
      <c r="J550">
        <v>5</v>
      </c>
      <c r="K550">
        <f t="shared" si="498"/>
        <v>57.157143750000003</v>
      </c>
      <c r="L550">
        <f t="shared" si="495"/>
        <v>1.091930000438484</v>
      </c>
      <c r="M550">
        <v>4</v>
      </c>
      <c r="N550">
        <v>37.549300000000002</v>
      </c>
      <c r="O550">
        <v>15.3004</v>
      </c>
      <c r="P550">
        <f t="shared" ref="P550" si="542">O550+N550</f>
        <v>52.849699999999999</v>
      </c>
      <c r="Q550">
        <v>52.808599999999998</v>
      </c>
      <c r="R550">
        <v>52.444400000000002</v>
      </c>
      <c r="S550">
        <f t="shared" ref="S550" si="543">R550-N550</f>
        <v>14.895099999999999</v>
      </c>
      <c r="T550">
        <f t="shared" ref="T550" si="544">((O550-S550)/O550)*100</f>
        <v>2.648950354239108</v>
      </c>
      <c r="U550">
        <f t="shared" si="501"/>
        <v>0.42958014169564318</v>
      </c>
      <c r="V550">
        <f>L550*(U550/100)</f>
        <v>4.6907144431008775E-3</v>
      </c>
    </row>
    <row r="551" spans="1:30">
      <c r="A551">
        <v>550</v>
      </c>
      <c r="B551" s="5" t="s">
        <v>33</v>
      </c>
      <c r="C551">
        <v>4</v>
      </c>
      <c r="D551" t="s">
        <v>28</v>
      </c>
      <c r="E551">
        <v>8</v>
      </c>
      <c r="F551" s="5" t="s">
        <v>25</v>
      </c>
      <c r="G551">
        <v>1.2804</v>
      </c>
      <c r="H551">
        <v>56.004800000000003</v>
      </c>
      <c r="I551">
        <f>H551-G551</f>
        <v>54.724400000000003</v>
      </c>
      <c r="J551">
        <v>5</v>
      </c>
      <c r="K551">
        <f t="shared" si="498"/>
        <v>57.157143750000003</v>
      </c>
      <c r="L551">
        <f t="shared" si="495"/>
        <v>0.95743762563362866</v>
      </c>
      <c r="M551" s="4"/>
      <c r="N551" s="4"/>
      <c r="O551" s="4"/>
      <c r="P551" s="4"/>
      <c r="Q551" s="4"/>
      <c r="R551" s="4"/>
      <c r="W551">
        <v>0</v>
      </c>
      <c r="X551">
        <v>1.3988</v>
      </c>
      <c r="Y551">
        <v>12.719200000000001</v>
      </c>
      <c r="Z551">
        <v>19.458300000000001</v>
      </c>
      <c r="AA551">
        <v>16.005700000000001</v>
      </c>
      <c r="AB551">
        <v>3.7890999999999999</v>
      </c>
      <c r="AC551">
        <v>0.35820000000000002</v>
      </c>
      <c r="AD551">
        <v>0.32200000000000001</v>
      </c>
    </row>
    <row r="552" spans="1:30">
      <c r="A552">
        <v>551</v>
      </c>
      <c r="B552" s="5" t="s">
        <v>33</v>
      </c>
      <c r="C552">
        <v>4</v>
      </c>
      <c r="D552" t="s">
        <v>28</v>
      </c>
      <c r="E552">
        <v>8</v>
      </c>
      <c r="F552" s="5" t="s">
        <v>26</v>
      </c>
      <c r="G552">
        <v>1.2743</v>
      </c>
      <c r="H552">
        <v>72.555199999999999</v>
      </c>
      <c r="I552">
        <f>H552-G552</f>
        <v>71.280900000000003</v>
      </c>
      <c r="J552">
        <v>5</v>
      </c>
      <c r="K552">
        <f t="shared" si="498"/>
        <v>57.157143750000003</v>
      </c>
      <c r="L552">
        <f t="shared" si="495"/>
        <v>1.2471039545253693</v>
      </c>
      <c r="M552">
        <v>175</v>
      </c>
      <c r="N552">
        <v>40.465899999999998</v>
      </c>
      <c r="O552">
        <v>15.636200000000001</v>
      </c>
      <c r="P552">
        <f t="shared" ref="P552" si="545">O552+N552</f>
        <v>56.1021</v>
      </c>
      <c r="Q552">
        <v>56.067100000000003</v>
      </c>
      <c r="R552">
        <v>55.747799999999998</v>
      </c>
      <c r="S552">
        <f t="shared" ref="S552" si="546">R552-N552</f>
        <v>15.2819</v>
      </c>
      <c r="T552">
        <f t="shared" ref="T552" si="547">((O552-S552)/O552)*100</f>
        <v>2.2658958058863425</v>
      </c>
      <c r="U552">
        <f t="shared" si="501"/>
        <v>0.27635832235453706</v>
      </c>
      <c r="V552">
        <f>L552*(U552/100)</f>
        <v>3.4464755667433992E-3</v>
      </c>
    </row>
    <row r="553" spans="1:30">
      <c r="A553">
        <v>552</v>
      </c>
      <c r="B553" s="5" t="s">
        <v>33</v>
      </c>
      <c r="C553">
        <v>4</v>
      </c>
      <c r="D553" t="s">
        <v>28</v>
      </c>
      <c r="E553">
        <v>8</v>
      </c>
      <c r="F553" s="5" t="s">
        <v>27</v>
      </c>
      <c r="G553">
        <v>1.2818000000000001</v>
      </c>
      <c r="H553">
        <v>75.501999999999995</v>
      </c>
      <c r="I553">
        <f>H553-G553</f>
        <v>74.220199999999991</v>
      </c>
      <c r="J553">
        <v>5</v>
      </c>
      <c r="K553">
        <f t="shared" si="498"/>
        <v>57.157143750000003</v>
      </c>
      <c r="L553">
        <f t="shared" si="495"/>
        <v>1.2985288474986119</v>
      </c>
      <c r="M553" s="4"/>
      <c r="N553" s="4"/>
      <c r="O553" s="4"/>
      <c r="P553" s="4"/>
      <c r="Q553" s="4"/>
      <c r="R553" s="4"/>
      <c r="W553">
        <v>0</v>
      </c>
      <c r="X553">
        <v>1.6265000000000001</v>
      </c>
      <c r="Y553">
        <v>17.5764</v>
      </c>
      <c r="Z553">
        <v>27.110900000000001</v>
      </c>
      <c r="AA553">
        <v>21.466699999999999</v>
      </c>
      <c r="AB553">
        <v>4.7260999999999997</v>
      </c>
      <c r="AC553">
        <v>0.41970000000000002</v>
      </c>
      <c r="AD553">
        <v>0.4486</v>
      </c>
    </row>
    <row r="554" spans="1:30">
      <c r="A554">
        <v>553</v>
      </c>
      <c r="B554" s="5" t="s">
        <v>33</v>
      </c>
      <c r="C554">
        <v>4</v>
      </c>
      <c r="D554" t="s">
        <v>29</v>
      </c>
      <c r="E554">
        <v>8</v>
      </c>
      <c r="F554" s="5" t="s">
        <v>24</v>
      </c>
      <c r="G554">
        <v>1.2908999999999999</v>
      </c>
      <c r="H554">
        <v>70.168800000000005</v>
      </c>
      <c r="I554">
        <f>H554-G554</f>
        <v>68.877900000000011</v>
      </c>
      <c r="J554">
        <v>5</v>
      </c>
      <c r="K554">
        <f t="shared" si="498"/>
        <v>57.157143750000003</v>
      </c>
      <c r="L554">
        <f t="shared" si="495"/>
        <v>1.205061965679487</v>
      </c>
      <c r="M554">
        <v>103</v>
      </c>
      <c r="N554">
        <v>38.907899999999998</v>
      </c>
      <c r="O554">
        <v>15.1614</v>
      </c>
      <c r="P554">
        <f t="shared" ref="P554" si="548">O554+N554</f>
        <v>54.069299999999998</v>
      </c>
      <c r="Q554">
        <v>54.042000000000002</v>
      </c>
      <c r="R554">
        <v>53.740900000000003</v>
      </c>
      <c r="S554">
        <f t="shared" ref="S554" si="549">R554-N554</f>
        <v>14.833000000000006</v>
      </c>
      <c r="T554">
        <f t="shared" ref="T554" si="550">((O554-S554)/O554)*100</f>
        <v>2.166026884060805</v>
      </c>
      <c r="U554">
        <f t="shared" si="501"/>
        <v>0.23641075362432207</v>
      </c>
      <c r="V554">
        <f>L554*(U554/100)</f>
        <v>2.8488960747029444E-3</v>
      </c>
    </row>
    <row r="555" spans="1:30">
      <c r="A555">
        <v>554</v>
      </c>
      <c r="B555" s="5" t="s">
        <v>33</v>
      </c>
      <c r="C555">
        <v>4</v>
      </c>
      <c r="D555" s="5" t="s">
        <v>29</v>
      </c>
      <c r="E555">
        <v>8</v>
      </c>
      <c r="F555" s="5" t="s">
        <v>25</v>
      </c>
      <c r="G555">
        <v>1.284</v>
      </c>
      <c r="H555">
        <v>57.727600000000002</v>
      </c>
      <c r="I555">
        <f>H555-G555</f>
        <v>56.443600000000004</v>
      </c>
      <c r="J555">
        <v>5</v>
      </c>
      <c r="K555">
        <f t="shared" si="498"/>
        <v>57.157143750000003</v>
      </c>
      <c r="L555">
        <f t="shared" si="495"/>
        <v>0.98751610554367497</v>
      </c>
      <c r="M555" s="4"/>
      <c r="N555" s="4"/>
      <c r="O555" s="4"/>
      <c r="P555" s="4"/>
      <c r="Q555" s="4"/>
      <c r="R555" s="4"/>
      <c r="W555">
        <v>0</v>
      </c>
      <c r="X555">
        <v>0</v>
      </c>
      <c r="Y555">
        <v>5.7645</v>
      </c>
      <c r="Z555">
        <v>19.773199999999999</v>
      </c>
      <c r="AA555">
        <v>23.776800000000001</v>
      </c>
      <c r="AB555">
        <v>5.9465000000000003</v>
      </c>
      <c r="AC555">
        <v>0.46089999999999998</v>
      </c>
      <c r="AD555">
        <v>0.25059999999999999</v>
      </c>
    </row>
    <row r="556" spans="1:30">
      <c r="A556">
        <v>555</v>
      </c>
      <c r="B556" s="5" t="s">
        <v>33</v>
      </c>
      <c r="C556">
        <v>4</v>
      </c>
      <c r="D556" t="s">
        <v>29</v>
      </c>
      <c r="E556">
        <v>8</v>
      </c>
      <c r="F556" s="5" t="s">
        <v>26</v>
      </c>
      <c r="G556">
        <v>1.2717000000000001</v>
      </c>
      <c r="H556">
        <v>75.941199999999995</v>
      </c>
      <c r="I556">
        <f>H556-G556</f>
        <v>74.669499999999999</v>
      </c>
      <c r="J556">
        <v>5</v>
      </c>
      <c r="K556">
        <f t="shared" si="498"/>
        <v>57.157143750000003</v>
      </c>
      <c r="L556">
        <f t="shared" si="495"/>
        <v>1.3063896321796171</v>
      </c>
      <c r="M556">
        <v>16</v>
      </c>
      <c r="N556">
        <v>42.151000000000003</v>
      </c>
      <c r="O556">
        <v>15.5656</v>
      </c>
      <c r="P556">
        <f t="shared" ref="P556" si="551">O556+N556</f>
        <v>57.7166</v>
      </c>
      <c r="Q556">
        <v>57.6877</v>
      </c>
      <c r="R556">
        <v>57.382300000000001</v>
      </c>
      <c r="S556">
        <f t="shared" ref="S556" si="552">R556-N556</f>
        <v>15.231299999999997</v>
      </c>
      <c r="T556">
        <f t="shared" ref="T556" si="553">((O556-S556)/O556)*100</f>
        <v>2.1476846379195309</v>
      </c>
      <c r="U556">
        <f t="shared" si="501"/>
        <v>0.22907385516781242</v>
      </c>
      <c r="V556">
        <f>L556*(U556/100)</f>
        <v>2.9925970939464535E-3</v>
      </c>
    </row>
    <row r="557" spans="1:30">
      <c r="A557">
        <v>556</v>
      </c>
      <c r="B557" s="5" t="s">
        <v>33</v>
      </c>
      <c r="C557">
        <v>4</v>
      </c>
      <c r="D557" s="5" t="s">
        <v>29</v>
      </c>
      <c r="E557">
        <v>8</v>
      </c>
      <c r="F557" s="5" t="s">
        <v>27</v>
      </c>
      <c r="G557">
        <v>1.2655000000000001</v>
      </c>
      <c r="H557">
        <v>69.552899999999994</v>
      </c>
      <c r="I557">
        <f>H557-G557</f>
        <v>68.287399999999991</v>
      </c>
      <c r="J557">
        <v>5</v>
      </c>
      <c r="K557">
        <f t="shared" si="498"/>
        <v>57.157143750000003</v>
      </c>
      <c r="L557">
        <f t="shared" si="495"/>
        <v>1.194730798632673</v>
      </c>
      <c r="M557" s="4"/>
      <c r="N557" s="4"/>
      <c r="O557" s="4"/>
      <c r="P557" s="4"/>
      <c r="Q557" s="4"/>
      <c r="R557" s="4"/>
      <c r="W557">
        <v>0</v>
      </c>
      <c r="X557">
        <v>0</v>
      </c>
      <c r="Y557">
        <v>12.102499999999999</v>
      </c>
      <c r="Z557">
        <v>28.701599999999999</v>
      </c>
      <c r="AA557">
        <v>21.756499999999999</v>
      </c>
      <c r="AB557">
        <v>4.5568999999999997</v>
      </c>
      <c r="AC557">
        <v>0.36059999999999998</v>
      </c>
      <c r="AD557">
        <v>0.2205</v>
      </c>
    </row>
    <row r="558" spans="1:30">
      <c r="A558">
        <v>557</v>
      </c>
      <c r="B558" s="5" t="s">
        <v>33</v>
      </c>
      <c r="C558">
        <v>4</v>
      </c>
      <c r="D558" t="s">
        <v>30</v>
      </c>
      <c r="E558">
        <v>8</v>
      </c>
      <c r="F558" s="5" t="s">
        <v>24</v>
      </c>
      <c r="G558">
        <v>1.2774000000000001</v>
      </c>
      <c r="H558">
        <v>70.214200000000005</v>
      </c>
      <c r="I558">
        <f>H558-G558</f>
        <v>68.936800000000005</v>
      </c>
      <c r="J558">
        <v>5</v>
      </c>
      <c r="K558">
        <f t="shared" si="498"/>
        <v>57.157143750000003</v>
      </c>
      <c r="L558">
        <f t="shared" si="495"/>
        <v>1.2060924580402952</v>
      </c>
      <c r="M558">
        <v>209</v>
      </c>
      <c r="N558">
        <v>40.550199999999997</v>
      </c>
      <c r="O558">
        <v>15.3787</v>
      </c>
      <c r="P558">
        <f t="shared" ref="P558" si="554">O558+N558</f>
        <v>55.928899999999999</v>
      </c>
      <c r="Q558">
        <v>55.903300000000002</v>
      </c>
      <c r="R558">
        <v>55.599299999999999</v>
      </c>
      <c r="S558">
        <f t="shared" ref="S558" si="555">R558-N558</f>
        <v>15.049100000000003</v>
      </c>
      <c r="T558">
        <f t="shared" ref="T558" si="556">((O558-S558)/O558)*100</f>
        <v>2.143224069654766</v>
      </c>
      <c r="U558">
        <f t="shared" si="501"/>
        <v>0.22728962786190643</v>
      </c>
      <c r="V558">
        <f>L558*(U558/100)</f>
        <v>2.7413230595503069E-3</v>
      </c>
    </row>
    <row r="559" spans="1:30">
      <c r="A559">
        <v>558</v>
      </c>
      <c r="B559" s="5" t="s">
        <v>33</v>
      </c>
      <c r="C559">
        <v>4</v>
      </c>
      <c r="D559" s="5" t="s">
        <v>30</v>
      </c>
      <c r="E559">
        <v>8</v>
      </c>
      <c r="F559" s="5" t="s">
        <v>25</v>
      </c>
      <c r="G559">
        <v>1.2687999999999999</v>
      </c>
      <c r="H559">
        <v>72.520700000000005</v>
      </c>
      <c r="I559">
        <f>H559-G559</f>
        <v>71.251900000000006</v>
      </c>
      <c r="J559">
        <v>5</v>
      </c>
      <c r="K559">
        <f t="shared" si="498"/>
        <v>57.157143750000003</v>
      </c>
      <c r="L559">
        <f t="shared" si="495"/>
        <v>1.2465965813765842</v>
      </c>
      <c r="M559" s="4"/>
      <c r="N559" s="4"/>
      <c r="O559" s="4"/>
      <c r="P559" s="4"/>
      <c r="Q559" s="4"/>
      <c r="R559" s="4"/>
      <c r="W559">
        <v>0</v>
      </c>
      <c r="X559">
        <v>0.57793000000000005</v>
      </c>
      <c r="Y559">
        <v>16.653400000000001</v>
      </c>
      <c r="Z559">
        <v>24.244900000000001</v>
      </c>
      <c r="AA559">
        <v>22.550999999999998</v>
      </c>
      <c r="AB559">
        <v>6.1158999999999999</v>
      </c>
      <c r="AC559">
        <v>0.4249</v>
      </c>
      <c r="AD559">
        <v>0.15620000000000001</v>
      </c>
    </row>
    <row r="560" spans="1:30">
      <c r="A560">
        <v>559</v>
      </c>
      <c r="B560" s="5" t="s">
        <v>33</v>
      </c>
      <c r="C560">
        <v>4</v>
      </c>
      <c r="D560" t="s">
        <v>30</v>
      </c>
      <c r="E560">
        <v>8</v>
      </c>
      <c r="F560" s="5" t="s">
        <v>26</v>
      </c>
      <c r="G560">
        <v>1.2877000000000001</v>
      </c>
      <c r="H560">
        <v>74.935299999999998</v>
      </c>
      <c r="I560">
        <f>H560-G560</f>
        <v>73.647599999999997</v>
      </c>
      <c r="J560">
        <v>5</v>
      </c>
      <c r="K560">
        <f t="shared" si="498"/>
        <v>57.157143750000003</v>
      </c>
      <c r="L560">
        <f t="shared" si="495"/>
        <v>1.2885108521539794</v>
      </c>
      <c r="M560">
        <v>301</v>
      </c>
      <c r="N560">
        <v>38.755000000000003</v>
      </c>
      <c r="O560">
        <v>15.319599999999999</v>
      </c>
      <c r="P560">
        <f t="shared" ref="P560" si="557">O560+N560</f>
        <v>54.074600000000004</v>
      </c>
      <c r="Q560">
        <v>54.044899999999998</v>
      </c>
      <c r="R560">
        <v>53.746499999999997</v>
      </c>
      <c r="S560">
        <f t="shared" ref="S560" si="558">R560-N560</f>
        <v>14.991499999999995</v>
      </c>
      <c r="T560">
        <f t="shared" ref="T560" si="559">((O560-S560)/O560)*100</f>
        <v>2.1417008276978806</v>
      </c>
      <c r="U560">
        <f t="shared" si="501"/>
        <v>0.22668033107915231</v>
      </c>
      <c r="V560">
        <f>L560*(U560/100)</f>
        <v>2.9208006656534472E-3</v>
      </c>
    </row>
    <row r="561" spans="1:30">
      <c r="A561">
        <v>560</v>
      </c>
      <c r="B561" s="5" t="s">
        <v>33</v>
      </c>
      <c r="C561">
        <v>4</v>
      </c>
      <c r="D561" s="5" t="s">
        <v>30</v>
      </c>
      <c r="E561">
        <v>8</v>
      </c>
      <c r="F561" s="5" t="s">
        <v>27</v>
      </c>
      <c r="G561">
        <v>1.2667999999999999</v>
      </c>
      <c r="H561">
        <v>82.345799999999997</v>
      </c>
      <c r="I561">
        <f>H561-G561</f>
        <v>81.078999999999994</v>
      </c>
      <c r="J561">
        <v>5</v>
      </c>
      <c r="K561">
        <f t="shared" si="498"/>
        <v>57.157143750000003</v>
      </c>
      <c r="L561">
        <f t="shared" si="495"/>
        <v>1.4185278458740338</v>
      </c>
      <c r="M561" s="4"/>
      <c r="N561" s="4"/>
      <c r="O561" s="4"/>
      <c r="P561" s="4"/>
      <c r="Q561" s="4"/>
      <c r="R561" s="4"/>
      <c r="W561">
        <v>0</v>
      </c>
      <c r="X561">
        <v>1.2628999999999999</v>
      </c>
      <c r="Y561">
        <v>20.6328</v>
      </c>
      <c r="Z561">
        <v>32.019399999999997</v>
      </c>
      <c r="AA561">
        <v>21.918700000000001</v>
      </c>
      <c r="AB561">
        <v>4.1189</v>
      </c>
      <c r="AC561">
        <v>0.30370000000000003</v>
      </c>
      <c r="AD561">
        <v>0.14610000000000001</v>
      </c>
    </row>
    <row r="562" spans="1:30">
      <c r="A562">
        <v>561</v>
      </c>
      <c r="B562" s="5" t="s">
        <v>33</v>
      </c>
      <c r="C562">
        <v>4</v>
      </c>
      <c r="D562" t="s">
        <v>23</v>
      </c>
      <c r="E562">
        <v>9</v>
      </c>
      <c r="F562" s="5" t="s">
        <v>24</v>
      </c>
      <c r="G562">
        <v>1.2861</v>
      </c>
      <c r="H562">
        <v>63.632899999999999</v>
      </c>
      <c r="I562">
        <f>H562-G562</f>
        <v>62.346800000000002</v>
      </c>
      <c r="J562">
        <v>5</v>
      </c>
      <c r="K562">
        <f t="shared" si="498"/>
        <v>57.157143750000003</v>
      </c>
      <c r="L562">
        <f t="shared" si="495"/>
        <v>1.0907962838853367</v>
      </c>
      <c r="M562">
        <v>3</v>
      </c>
      <c r="N562">
        <v>37.934600000000003</v>
      </c>
      <c r="O562">
        <v>15.627700000000001</v>
      </c>
      <c r="P562">
        <f t="shared" ref="P562" si="560">O562+N562</f>
        <v>53.562300000000008</v>
      </c>
      <c r="Q562">
        <v>53.533999999999999</v>
      </c>
      <c r="R562">
        <v>53.223599999999998</v>
      </c>
      <c r="S562">
        <f t="shared" ref="S562" si="561">R562-N562</f>
        <v>15.288999999999994</v>
      </c>
      <c r="T562">
        <f t="shared" ref="T562" si="562">((O562-S562)/O562)*100</f>
        <v>2.1673054896114365</v>
      </c>
      <c r="U562">
        <f t="shared" si="501"/>
        <v>0.23692219584457463</v>
      </c>
      <c r="V562">
        <f>L562*(U562/100)</f>
        <v>2.5843385079721594E-3</v>
      </c>
    </row>
    <row r="563" spans="1:30">
      <c r="A563">
        <v>562</v>
      </c>
      <c r="B563" s="5" t="s">
        <v>33</v>
      </c>
      <c r="C563">
        <v>4</v>
      </c>
      <c r="D563" t="s">
        <v>23</v>
      </c>
      <c r="E563">
        <v>9</v>
      </c>
      <c r="F563" s="5" t="s">
        <v>25</v>
      </c>
      <c r="G563">
        <v>1.2796000000000001</v>
      </c>
      <c r="H563">
        <v>63.531999999999996</v>
      </c>
      <c r="I563">
        <f>H563-G563</f>
        <v>62.252399999999994</v>
      </c>
      <c r="J563">
        <v>5</v>
      </c>
      <c r="K563">
        <f t="shared" si="498"/>
        <v>57.157143750000003</v>
      </c>
      <c r="L563">
        <f t="shared" si="495"/>
        <v>1.0891446968079119</v>
      </c>
      <c r="M563" s="4"/>
      <c r="N563" s="4"/>
      <c r="O563" s="4"/>
      <c r="P563" s="4"/>
      <c r="Q563" s="4"/>
      <c r="R563" s="4"/>
      <c r="W563">
        <v>0</v>
      </c>
      <c r="X563">
        <v>1.9543999999999999</v>
      </c>
      <c r="Y563">
        <v>25.216999999999999</v>
      </c>
      <c r="Z563">
        <v>19.357700000000001</v>
      </c>
      <c r="AA563">
        <v>11.5755</v>
      </c>
      <c r="AB563">
        <v>2.9039000000000001</v>
      </c>
      <c r="AC563">
        <v>0.32779999999999998</v>
      </c>
      <c r="AD563">
        <v>0.3256</v>
      </c>
    </row>
    <row r="564" spans="1:30">
      <c r="A564">
        <v>563</v>
      </c>
      <c r="B564" s="5" t="s">
        <v>33</v>
      </c>
      <c r="C564">
        <v>4</v>
      </c>
      <c r="D564" t="s">
        <v>23</v>
      </c>
      <c r="E564">
        <v>9</v>
      </c>
      <c r="F564" s="5" t="s">
        <v>26</v>
      </c>
      <c r="G564">
        <v>1.2683</v>
      </c>
      <c r="H564">
        <v>70.767200000000003</v>
      </c>
      <c r="I564">
        <f>H564-G564</f>
        <v>69.498900000000006</v>
      </c>
      <c r="J564">
        <v>5</v>
      </c>
      <c r="K564">
        <f t="shared" si="498"/>
        <v>57.157143750000003</v>
      </c>
      <c r="L564">
        <f t="shared" si="495"/>
        <v>1.2159267493138162</v>
      </c>
      <c r="M564">
        <v>100</v>
      </c>
      <c r="N564">
        <v>40.5077</v>
      </c>
      <c r="O564">
        <v>15.290699999999999</v>
      </c>
      <c r="P564">
        <f t="shared" ref="P564" si="563">O564+N564</f>
        <v>55.798400000000001</v>
      </c>
      <c r="Q564">
        <v>55.767899999999997</v>
      </c>
      <c r="R564">
        <v>55.474800000000002</v>
      </c>
      <c r="S564">
        <f t="shared" ref="S564" si="564">R564-N564</f>
        <v>14.967100000000002</v>
      </c>
      <c r="T564">
        <f t="shared" ref="T564" si="565">((O564-S564)/O564)*100</f>
        <v>2.1163190697613401</v>
      </c>
      <c r="U564">
        <f t="shared" si="501"/>
        <v>0.21652762790453606</v>
      </c>
      <c r="V564">
        <f>L564*(U564/100)</f>
        <v>2.6328173473459406E-3</v>
      </c>
    </row>
    <row r="565" spans="1:30">
      <c r="A565">
        <v>564</v>
      </c>
      <c r="B565" s="5" t="s">
        <v>33</v>
      </c>
      <c r="C565">
        <v>4</v>
      </c>
      <c r="D565" t="s">
        <v>23</v>
      </c>
      <c r="E565">
        <v>9</v>
      </c>
      <c r="F565" s="5" t="s">
        <v>27</v>
      </c>
      <c r="G565">
        <v>1.2751999999999999</v>
      </c>
      <c r="H565">
        <v>71.817400000000006</v>
      </c>
      <c r="I565">
        <f>H565-G565</f>
        <v>70.542200000000008</v>
      </c>
      <c r="J565">
        <v>5</v>
      </c>
      <c r="K565">
        <f t="shared" si="498"/>
        <v>57.157143750000003</v>
      </c>
      <c r="L565">
        <f t="shared" si="495"/>
        <v>1.2341799357320056</v>
      </c>
      <c r="M565" s="4"/>
      <c r="N565" s="4"/>
      <c r="O565" s="4"/>
      <c r="P565" s="4"/>
      <c r="Q565" s="4"/>
      <c r="R565" s="4"/>
      <c r="W565">
        <v>0</v>
      </c>
      <c r="X565">
        <v>1.7403</v>
      </c>
      <c r="Y565">
        <v>30.8626</v>
      </c>
      <c r="Z565">
        <v>24.2042</v>
      </c>
      <c r="AA565">
        <v>10.6835</v>
      </c>
      <c r="AB565">
        <v>2.2709000000000001</v>
      </c>
      <c r="AC565">
        <v>0.2102</v>
      </c>
      <c r="AD565">
        <v>0.254</v>
      </c>
    </row>
    <row r="566" spans="1:30">
      <c r="A566">
        <v>565</v>
      </c>
      <c r="B566" s="5" t="s">
        <v>33</v>
      </c>
      <c r="C566">
        <v>4</v>
      </c>
      <c r="D566" t="s">
        <v>28</v>
      </c>
      <c r="E566">
        <v>9</v>
      </c>
      <c r="F566" s="5" t="s">
        <v>24</v>
      </c>
      <c r="G566">
        <v>1.2619</v>
      </c>
      <c r="H566">
        <v>66.987099999999998</v>
      </c>
      <c r="I566">
        <f>H566-G566</f>
        <v>65.725200000000001</v>
      </c>
      <c r="J566">
        <v>5</v>
      </c>
      <c r="K566">
        <f t="shared" si="498"/>
        <v>57.157143750000003</v>
      </c>
      <c r="L566">
        <f t="shared" si="495"/>
        <v>1.1499035061562186</v>
      </c>
      <c r="M566">
        <v>120</v>
      </c>
      <c r="N566">
        <v>37.717399999999998</v>
      </c>
      <c r="O566">
        <v>15.407299999999999</v>
      </c>
      <c r="P566">
        <f t="shared" ref="P566" si="566">O566+N566</f>
        <v>53.124699999999997</v>
      </c>
      <c r="Q566">
        <v>53.094999999999999</v>
      </c>
      <c r="R566">
        <v>52.7605</v>
      </c>
      <c r="S566">
        <f t="shared" ref="S566" si="567">R566-N566</f>
        <v>15.043100000000003</v>
      </c>
      <c r="T566">
        <f t="shared" ref="T566" si="568">((O566-S566)/O566)*100</f>
        <v>2.3638145554379859</v>
      </c>
      <c r="U566">
        <f t="shared" si="501"/>
        <v>0.31552582217519443</v>
      </c>
      <c r="V566">
        <f>L566*(U566/100)</f>
        <v>3.6282424920207963E-3</v>
      </c>
    </row>
    <row r="567" spans="1:30">
      <c r="A567">
        <v>566</v>
      </c>
      <c r="B567" s="5" t="s">
        <v>33</v>
      </c>
      <c r="C567">
        <v>4</v>
      </c>
      <c r="D567" t="s">
        <v>28</v>
      </c>
      <c r="E567">
        <v>9</v>
      </c>
      <c r="F567" s="5" t="s">
        <v>25</v>
      </c>
      <c r="G567">
        <v>1.2739</v>
      </c>
      <c r="H567">
        <v>66.305999999999997</v>
      </c>
      <c r="I567">
        <f>H567-G567</f>
        <v>65.0321</v>
      </c>
      <c r="J567">
        <v>5</v>
      </c>
      <c r="K567">
        <f t="shared" si="498"/>
        <v>57.157143750000003</v>
      </c>
      <c r="L567">
        <f t="shared" si="495"/>
        <v>1.1377772879002548</v>
      </c>
      <c r="M567" s="4"/>
      <c r="N567" s="4"/>
      <c r="O567" s="4"/>
      <c r="P567" s="4"/>
      <c r="Q567" s="4"/>
      <c r="R567" s="4"/>
      <c r="W567">
        <v>0</v>
      </c>
      <c r="X567">
        <v>0.32479999999999998</v>
      </c>
      <c r="Y567">
        <v>21.139700000000001</v>
      </c>
      <c r="Z567">
        <v>26.3795</v>
      </c>
      <c r="AA567">
        <v>13.8108</v>
      </c>
      <c r="AB567">
        <v>2.4910999999999999</v>
      </c>
      <c r="AC567">
        <v>0.22509999999999999</v>
      </c>
      <c r="AD567">
        <v>0.26479999999999998</v>
      </c>
    </row>
    <row r="568" spans="1:30">
      <c r="A568">
        <v>567</v>
      </c>
      <c r="B568" s="5" t="s">
        <v>33</v>
      </c>
      <c r="C568">
        <v>4</v>
      </c>
      <c r="D568" t="s">
        <v>28</v>
      </c>
      <c r="E568">
        <v>9</v>
      </c>
      <c r="F568" s="5" t="s">
        <v>26</v>
      </c>
      <c r="G568">
        <v>1.2687999999999999</v>
      </c>
      <c r="H568">
        <v>84.732500000000002</v>
      </c>
      <c r="I568">
        <f>H568-G568</f>
        <v>83.463700000000003</v>
      </c>
      <c r="J568">
        <v>5</v>
      </c>
      <c r="K568">
        <f t="shared" si="498"/>
        <v>57.157143750000003</v>
      </c>
      <c r="L568">
        <f t="shared" si="495"/>
        <v>1.460249664767407</v>
      </c>
      <c r="M568">
        <v>202</v>
      </c>
      <c r="N568">
        <v>39.374400000000001</v>
      </c>
      <c r="O568">
        <v>15.5413</v>
      </c>
      <c r="P568">
        <f t="shared" ref="P568" si="569">O568+N568</f>
        <v>54.915700000000001</v>
      </c>
      <c r="Q568">
        <v>54.869500000000002</v>
      </c>
      <c r="R568">
        <v>54.543100000000003</v>
      </c>
      <c r="S568">
        <f t="shared" ref="S568" si="570">R568-N568</f>
        <v>15.168700000000001</v>
      </c>
      <c r="T568">
        <f t="shared" ref="T568" si="571">((O568-S568)/O568)*100</f>
        <v>2.397482836056176</v>
      </c>
      <c r="U568">
        <f t="shared" si="501"/>
        <v>0.32899313442247047</v>
      </c>
      <c r="V568">
        <f>L568*(U568/100)</f>
        <v>4.80412114251191E-3</v>
      </c>
    </row>
    <row r="569" spans="1:30">
      <c r="A569">
        <v>568</v>
      </c>
      <c r="B569" s="5" t="s">
        <v>33</v>
      </c>
      <c r="C569">
        <v>4</v>
      </c>
      <c r="D569" t="s">
        <v>28</v>
      </c>
      <c r="E569">
        <v>9</v>
      </c>
      <c r="F569" s="5" t="s">
        <v>27</v>
      </c>
      <c r="G569">
        <v>1.2569999999999999</v>
      </c>
      <c r="H569">
        <v>75.878799999999998</v>
      </c>
      <c r="I569">
        <f>H569-G569</f>
        <v>74.621799999999993</v>
      </c>
      <c r="J569">
        <v>5</v>
      </c>
      <c r="K569">
        <f t="shared" si="498"/>
        <v>57.157143750000003</v>
      </c>
      <c r="L569">
        <f t="shared" si="495"/>
        <v>1.3055550908279945</v>
      </c>
      <c r="M569" s="4"/>
      <c r="N569" s="4"/>
      <c r="O569" s="4"/>
      <c r="P569" s="4"/>
      <c r="Q569" s="4"/>
      <c r="R569" s="4"/>
      <c r="W569">
        <v>0</v>
      </c>
      <c r="X569">
        <v>0.34699999999999998</v>
      </c>
      <c r="Y569">
        <v>19.3888</v>
      </c>
      <c r="Z569">
        <v>31.130099999999999</v>
      </c>
      <c r="AA569">
        <v>18.9663</v>
      </c>
      <c r="AB569">
        <v>3.5125999999999999</v>
      </c>
      <c r="AC569">
        <v>0.36549999999999999</v>
      </c>
      <c r="AD569">
        <v>0.58830000000000005</v>
      </c>
    </row>
    <row r="570" spans="1:30">
      <c r="A570">
        <v>569</v>
      </c>
      <c r="B570" s="5" t="s">
        <v>33</v>
      </c>
      <c r="C570">
        <v>4</v>
      </c>
      <c r="D570" t="s">
        <v>29</v>
      </c>
      <c r="E570">
        <v>9</v>
      </c>
      <c r="F570" s="5" t="s">
        <v>24</v>
      </c>
      <c r="G570">
        <v>1.2750999999999999</v>
      </c>
      <c r="H570">
        <v>82.759799999999998</v>
      </c>
      <c r="I570">
        <f>H570-G570</f>
        <v>81.484700000000004</v>
      </c>
      <c r="J570">
        <v>5</v>
      </c>
      <c r="K570">
        <f t="shared" si="498"/>
        <v>57.157143750000003</v>
      </c>
      <c r="L570">
        <f t="shared" si="495"/>
        <v>1.4256258212692792</v>
      </c>
      <c r="M570">
        <v>304</v>
      </c>
      <c r="N570">
        <v>40.891199999999998</v>
      </c>
      <c r="O570">
        <v>15.4367</v>
      </c>
      <c r="P570">
        <f t="shared" ref="P570" si="572">O570+N570</f>
        <v>56.3279</v>
      </c>
      <c r="Q570">
        <v>56.300899999999999</v>
      </c>
      <c r="R570">
        <v>56.000799999999998</v>
      </c>
      <c r="S570">
        <f t="shared" ref="S570" si="573">R570-N570</f>
        <v>15.1096</v>
      </c>
      <c r="T570">
        <f t="shared" ref="T570" si="574">((O570-S570)/O570)*100</f>
        <v>2.1189762060544011</v>
      </c>
      <c r="U570">
        <f t="shared" si="501"/>
        <v>0.21759048242176049</v>
      </c>
      <c r="V570">
        <f>L570*(U570/100)</f>
        <v>3.1020261020290097E-3</v>
      </c>
    </row>
    <row r="571" spans="1:30">
      <c r="A571">
        <v>570</v>
      </c>
      <c r="B571" s="5" t="s">
        <v>33</v>
      </c>
      <c r="C571">
        <v>4</v>
      </c>
      <c r="D571" s="5" t="s">
        <v>29</v>
      </c>
      <c r="E571">
        <v>9</v>
      </c>
      <c r="F571" s="5" t="s">
        <v>25</v>
      </c>
      <c r="G571">
        <v>1.2712000000000001</v>
      </c>
      <c r="H571">
        <v>75.874200000000002</v>
      </c>
      <c r="I571">
        <f>H571-G571</f>
        <v>74.603000000000009</v>
      </c>
      <c r="J571">
        <v>5</v>
      </c>
      <c r="K571">
        <f t="shared" si="498"/>
        <v>57.157143750000003</v>
      </c>
      <c r="L571">
        <f t="shared" si="495"/>
        <v>1.3052261730625754</v>
      </c>
      <c r="M571" s="4"/>
      <c r="N571" s="4"/>
      <c r="O571" s="4"/>
      <c r="P571" s="4"/>
      <c r="Q571" s="4"/>
      <c r="R571" s="4"/>
      <c r="W571">
        <v>0</v>
      </c>
      <c r="X571">
        <v>0.2147</v>
      </c>
      <c r="Y571">
        <v>11.457000000000001</v>
      </c>
      <c r="Z571">
        <v>25.658799999999999</v>
      </c>
      <c r="AA571">
        <v>27.143599999999999</v>
      </c>
      <c r="AB571">
        <v>8.3890999999999991</v>
      </c>
      <c r="AC571">
        <v>0.66259999999999997</v>
      </c>
      <c r="AD571">
        <v>0.23250000000000001</v>
      </c>
    </row>
    <row r="572" spans="1:30">
      <c r="A572">
        <v>571</v>
      </c>
      <c r="B572" s="5" t="s">
        <v>33</v>
      </c>
      <c r="C572">
        <v>4</v>
      </c>
      <c r="D572" t="s">
        <v>29</v>
      </c>
      <c r="E572">
        <v>9</v>
      </c>
      <c r="F572" s="5" t="s">
        <v>26</v>
      </c>
      <c r="G572">
        <v>1.2868999999999999</v>
      </c>
      <c r="H572">
        <v>80.6614</v>
      </c>
      <c r="I572">
        <f>H572-G572</f>
        <v>79.374499999999998</v>
      </c>
      <c r="J572">
        <v>5</v>
      </c>
      <c r="K572">
        <f t="shared" si="498"/>
        <v>57.157143750000003</v>
      </c>
      <c r="L572">
        <f t="shared" si="495"/>
        <v>1.3887065516635442</v>
      </c>
      <c r="M572">
        <v>0</v>
      </c>
      <c r="N572">
        <v>38.148200000000003</v>
      </c>
      <c r="O572">
        <v>15.305400000000001</v>
      </c>
      <c r="P572">
        <f t="shared" ref="P572" si="575">O572+N572</f>
        <v>53.453600000000002</v>
      </c>
      <c r="Q572">
        <v>53.430100000000003</v>
      </c>
      <c r="R572">
        <v>53.140300000000003</v>
      </c>
      <c r="S572">
        <f t="shared" ref="S572" si="576">R572-N572</f>
        <v>14.992100000000001</v>
      </c>
      <c r="T572">
        <f t="shared" ref="T572" si="577">((O572-S572)/O572)*100</f>
        <v>2.0469899512590319</v>
      </c>
      <c r="U572">
        <f t="shared" si="501"/>
        <v>0.18879598050361279</v>
      </c>
      <c r="V572">
        <f>L572*(U572/100)</f>
        <v>2.6218221505310982E-3</v>
      </c>
    </row>
    <row r="573" spans="1:30">
      <c r="A573">
        <v>572</v>
      </c>
      <c r="B573" s="5" t="s">
        <v>33</v>
      </c>
      <c r="C573">
        <v>4</v>
      </c>
      <c r="D573" s="5" t="s">
        <v>29</v>
      </c>
      <c r="E573">
        <v>9</v>
      </c>
      <c r="F573" s="5" t="s">
        <v>27</v>
      </c>
      <c r="G573">
        <v>1.2794000000000001</v>
      </c>
      <c r="H573">
        <v>72.674400000000006</v>
      </c>
      <c r="I573">
        <f>H573-G573</f>
        <v>71.39500000000001</v>
      </c>
      <c r="J573">
        <v>5</v>
      </c>
      <c r="K573">
        <f t="shared" si="498"/>
        <v>57.157143750000003</v>
      </c>
      <c r="L573">
        <f t="shared" si="495"/>
        <v>1.2491002054314515</v>
      </c>
      <c r="M573" s="4"/>
      <c r="N573" s="4"/>
      <c r="O573" s="4"/>
      <c r="P573" s="4"/>
      <c r="Q573" s="4"/>
      <c r="R573" s="4"/>
      <c r="W573">
        <v>0</v>
      </c>
      <c r="X573">
        <v>0.34029999999999999</v>
      </c>
      <c r="Y573">
        <v>15.6808</v>
      </c>
      <c r="Z573">
        <v>28.111000000000001</v>
      </c>
      <c r="AA573">
        <v>20.879000000000001</v>
      </c>
      <c r="AB573">
        <v>5.1014999999999997</v>
      </c>
      <c r="AC573">
        <v>0.42480000000000001</v>
      </c>
      <c r="AD573">
        <v>0.2238</v>
      </c>
    </row>
    <row r="574" spans="1:30">
      <c r="A574">
        <v>573</v>
      </c>
      <c r="B574" s="5" t="s">
        <v>33</v>
      </c>
      <c r="C574">
        <v>4</v>
      </c>
      <c r="D574" t="s">
        <v>30</v>
      </c>
      <c r="E574">
        <v>9</v>
      </c>
      <c r="F574" s="5" t="s">
        <v>24</v>
      </c>
      <c r="G574">
        <v>1.2728999999999999</v>
      </c>
      <c r="H574">
        <v>82.678799999999995</v>
      </c>
      <c r="I574">
        <f>H574-G574</f>
        <v>81.405900000000003</v>
      </c>
      <c r="J574">
        <v>5</v>
      </c>
      <c r="K574">
        <f t="shared" si="498"/>
        <v>57.157143750000003</v>
      </c>
      <c r="L574">
        <f t="shared" si="495"/>
        <v>1.4242471659546494</v>
      </c>
      <c r="M574">
        <v>8</v>
      </c>
      <c r="N574">
        <v>39.242199999999997</v>
      </c>
      <c r="O574">
        <v>15.675800000000001</v>
      </c>
      <c r="P574">
        <f t="shared" ref="P574" si="578">O574+N574</f>
        <v>54.917999999999999</v>
      </c>
      <c r="Q574">
        <v>54.892699999999998</v>
      </c>
      <c r="R574">
        <v>54.5991</v>
      </c>
      <c r="S574">
        <f t="shared" ref="S574" si="579">R574-N574</f>
        <v>15.356900000000003</v>
      </c>
      <c r="T574">
        <f t="shared" ref="T574" si="580">((O574-S574)/O574)*100</f>
        <v>2.034345934497745</v>
      </c>
      <c r="U574">
        <f t="shared" si="501"/>
        <v>0.18373837379909808</v>
      </c>
      <c r="V574">
        <f>L574*(U574/100)</f>
        <v>2.6168885816048146E-3</v>
      </c>
    </row>
    <row r="575" spans="1:30">
      <c r="A575">
        <v>574</v>
      </c>
      <c r="B575" s="5" t="s">
        <v>33</v>
      </c>
      <c r="C575">
        <v>4</v>
      </c>
      <c r="D575" s="5" t="s">
        <v>30</v>
      </c>
      <c r="E575">
        <v>9</v>
      </c>
      <c r="F575" s="5" t="s">
        <v>25</v>
      </c>
      <c r="G575">
        <v>1.2797000000000001</v>
      </c>
      <c r="H575">
        <v>81.476900000000001</v>
      </c>
      <c r="I575">
        <f>H575-G575</f>
        <v>80.197199999999995</v>
      </c>
      <c r="J575">
        <v>5</v>
      </c>
      <c r="K575">
        <f t="shared" si="498"/>
        <v>57.157143750000003</v>
      </c>
      <c r="L575">
        <f t="shared" si="495"/>
        <v>1.4031002030258026</v>
      </c>
      <c r="M575" s="4"/>
      <c r="N575" s="4"/>
      <c r="O575" s="4"/>
      <c r="P575" s="4"/>
      <c r="Q575" s="4"/>
      <c r="R575" s="4"/>
      <c r="W575">
        <v>0</v>
      </c>
      <c r="X575">
        <v>0.25790000000000002</v>
      </c>
      <c r="Y575">
        <v>13.123799999999999</v>
      </c>
      <c r="Z575">
        <v>29.179200000000002</v>
      </c>
      <c r="AA575">
        <v>29.705300000000001</v>
      </c>
      <c r="AB575">
        <v>6.7580999999999998</v>
      </c>
      <c r="AC575">
        <v>0.40529999999999999</v>
      </c>
      <c r="AD575">
        <v>0.14480000000000001</v>
      </c>
    </row>
    <row r="576" spans="1:30">
      <c r="A576">
        <v>575</v>
      </c>
      <c r="B576" s="5" t="s">
        <v>33</v>
      </c>
      <c r="C576">
        <v>4</v>
      </c>
      <c r="D576" t="s">
        <v>30</v>
      </c>
      <c r="E576">
        <v>9</v>
      </c>
      <c r="F576" s="5" t="s">
        <v>26</v>
      </c>
      <c r="G576">
        <v>1.2714000000000001</v>
      </c>
      <c r="H576">
        <v>75.492400000000004</v>
      </c>
      <c r="I576">
        <f>H576-G576</f>
        <v>74.221000000000004</v>
      </c>
      <c r="J576">
        <v>5</v>
      </c>
      <c r="K576">
        <f t="shared" si="498"/>
        <v>57.157143750000003</v>
      </c>
      <c r="L576">
        <f t="shared" si="495"/>
        <v>1.2985428439992683</v>
      </c>
      <c r="M576">
        <v>303</v>
      </c>
      <c r="N576">
        <v>37.109699999999997</v>
      </c>
      <c r="O576">
        <v>15.2592</v>
      </c>
      <c r="P576">
        <f t="shared" ref="P576" si="581">O576+N576</f>
        <v>52.368899999999996</v>
      </c>
      <c r="Q576">
        <v>52.340800000000002</v>
      </c>
      <c r="R576">
        <v>52.0443</v>
      </c>
      <c r="S576">
        <f t="shared" ref="S576" si="582">R576-N576</f>
        <v>14.934600000000003</v>
      </c>
      <c r="T576">
        <f t="shared" ref="T576" si="583">((O576-S576)/O576)*100</f>
        <v>2.1272412708398649</v>
      </c>
      <c r="U576">
        <f t="shared" si="501"/>
        <v>0.22089650833594598</v>
      </c>
      <c r="V576">
        <f>L576*(U576/100)</f>
        <v>2.8684358016406739E-3</v>
      </c>
    </row>
    <row r="577" spans="1:30">
      <c r="A577">
        <v>576</v>
      </c>
      <c r="B577" s="5" t="s">
        <v>33</v>
      </c>
      <c r="C577">
        <v>4</v>
      </c>
      <c r="D577" s="5" t="s">
        <v>30</v>
      </c>
      <c r="E577">
        <v>9</v>
      </c>
      <c r="F577" s="5" t="s">
        <v>27</v>
      </c>
      <c r="G577">
        <v>1.2847999999999999</v>
      </c>
      <c r="H577">
        <v>70.9315</v>
      </c>
      <c r="I577">
        <f>H577-G577</f>
        <v>69.646699999999996</v>
      </c>
      <c r="J577">
        <v>5</v>
      </c>
      <c r="K577">
        <f t="shared" si="498"/>
        <v>57.157143750000003</v>
      </c>
      <c r="L577">
        <f t="shared" si="495"/>
        <v>1.2185126028100379</v>
      </c>
      <c r="M577" s="4"/>
      <c r="N577" s="4"/>
      <c r="O577" s="4"/>
      <c r="P577" s="4"/>
      <c r="Q577" s="4"/>
      <c r="R577" s="4"/>
      <c r="W577">
        <v>0</v>
      </c>
      <c r="X577">
        <v>0.42670000000000002</v>
      </c>
      <c r="Y577">
        <v>15.062200000000001</v>
      </c>
      <c r="Z577">
        <v>23.139500000000002</v>
      </c>
      <c r="AA577">
        <v>22.8384</v>
      </c>
      <c r="AB577">
        <v>6.9390000000000001</v>
      </c>
      <c r="AC577">
        <v>0.54239999999999999</v>
      </c>
      <c r="AD577">
        <v>0.2258</v>
      </c>
    </row>
    <row r="578" spans="1:30">
      <c r="A578">
        <v>577</v>
      </c>
      <c r="B578" t="s">
        <v>22</v>
      </c>
      <c r="C578">
        <v>5</v>
      </c>
      <c r="D578" t="s">
        <v>23</v>
      </c>
      <c r="E578">
        <v>10</v>
      </c>
      <c r="F578" t="s">
        <v>24</v>
      </c>
      <c r="I578">
        <f>H578-G578</f>
        <v>0</v>
      </c>
      <c r="J578">
        <v>5</v>
      </c>
      <c r="K578">
        <f t="shared" si="498"/>
        <v>57.157143750000003</v>
      </c>
      <c r="L578">
        <f t="shared" ref="L578:L589" si="584">I578/K578</f>
        <v>0</v>
      </c>
      <c r="S578">
        <f t="shared" ref="S578" si="585">R578-N578</f>
        <v>0</v>
      </c>
      <c r="T578" t="e">
        <f t="shared" ref="T578" si="586">((O578-S578)/O578)*100</f>
        <v>#DIV/0!</v>
      </c>
      <c r="U578" t="e">
        <f t="shared" si="501"/>
        <v>#DIV/0!</v>
      </c>
      <c r="V578" t="e">
        <f>L578*(U578/100)</f>
        <v>#DIV/0!</v>
      </c>
    </row>
    <row r="579" spans="1:30">
      <c r="A579">
        <v>578</v>
      </c>
      <c r="B579" t="s">
        <v>22</v>
      </c>
      <c r="C579">
        <v>5</v>
      </c>
      <c r="D579" t="s">
        <v>23</v>
      </c>
      <c r="E579">
        <v>10</v>
      </c>
      <c r="F579" t="s">
        <v>25</v>
      </c>
      <c r="I579">
        <f>H579-G579</f>
        <v>0</v>
      </c>
      <c r="J579">
        <v>5</v>
      </c>
      <c r="K579">
        <f t="shared" ref="K579:K642" si="587">0.25*3.15*((7.62/2)^2)*J579</f>
        <v>57.157143750000003</v>
      </c>
      <c r="L579">
        <f t="shared" si="584"/>
        <v>0</v>
      </c>
      <c r="M579" s="4"/>
      <c r="N579" s="4"/>
      <c r="O579" s="4"/>
      <c r="P579" s="4"/>
      <c r="Q579" s="4"/>
      <c r="R579" s="4"/>
    </row>
    <row r="580" spans="1:30">
      <c r="A580">
        <v>579</v>
      </c>
      <c r="B580" t="s">
        <v>22</v>
      </c>
      <c r="C580">
        <v>5</v>
      </c>
      <c r="D580" t="s">
        <v>23</v>
      </c>
      <c r="E580">
        <v>10</v>
      </c>
      <c r="F580" t="s">
        <v>26</v>
      </c>
      <c r="I580">
        <f>H580-G580</f>
        <v>0</v>
      </c>
      <c r="J580">
        <v>5</v>
      </c>
      <c r="K580">
        <f t="shared" si="587"/>
        <v>57.157143750000003</v>
      </c>
      <c r="L580">
        <f t="shared" si="584"/>
        <v>0</v>
      </c>
      <c r="S580">
        <f t="shared" ref="S580" si="588">R580-N580</f>
        <v>0</v>
      </c>
      <c r="T580" t="e">
        <f t="shared" ref="T580" si="589">((O580-S580)/O580)*100</f>
        <v>#DIV/0!</v>
      </c>
      <c r="U580" t="e">
        <f t="shared" ref="U580:U642" si="590">-0.63+0.4*T580</f>
        <v>#DIV/0!</v>
      </c>
      <c r="V580" t="e">
        <f>L580*(U580/100)</f>
        <v>#DIV/0!</v>
      </c>
    </row>
    <row r="581" spans="1:30">
      <c r="A581">
        <v>580</v>
      </c>
      <c r="B581" t="s">
        <v>22</v>
      </c>
      <c r="C581">
        <v>5</v>
      </c>
      <c r="D581" t="s">
        <v>23</v>
      </c>
      <c r="E581">
        <v>10</v>
      </c>
      <c r="F581" t="s">
        <v>27</v>
      </c>
      <c r="I581">
        <f>H581-G581</f>
        <v>0</v>
      </c>
      <c r="J581">
        <v>5</v>
      </c>
      <c r="K581">
        <f t="shared" si="587"/>
        <v>57.157143750000003</v>
      </c>
      <c r="L581">
        <f t="shared" si="584"/>
        <v>0</v>
      </c>
      <c r="M581" s="4"/>
      <c r="N581" s="4"/>
      <c r="O581" s="4"/>
      <c r="P581" s="4"/>
      <c r="Q581" s="4"/>
      <c r="R581" s="4"/>
    </row>
    <row r="582" spans="1:30">
      <c r="A582">
        <v>581</v>
      </c>
      <c r="B582" t="s">
        <v>22</v>
      </c>
      <c r="C582">
        <v>5</v>
      </c>
      <c r="D582" t="s">
        <v>28</v>
      </c>
      <c r="E582">
        <v>10</v>
      </c>
      <c r="F582" t="s">
        <v>24</v>
      </c>
      <c r="I582">
        <f>H582-G582</f>
        <v>0</v>
      </c>
      <c r="J582">
        <v>5</v>
      </c>
      <c r="K582">
        <f t="shared" si="587"/>
        <v>57.157143750000003</v>
      </c>
      <c r="L582">
        <f t="shared" si="584"/>
        <v>0</v>
      </c>
      <c r="S582">
        <f t="shared" ref="S582" si="591">R582-N582</f>
        <v>0</v>
      </c>
      <c r="T582" t="e">
        <f t="shared" ref="T582" si="592">((O582-S582)/O582)*100</f>
        <v>#DIV/0!</v>
      </c>
      <c r="U582" t="e">
        <f t="shared" si="590"/>
        <v>#DIV/0!</v>
      </c>
      <c r="V582" t="e">
        <f>L582*(U582/100)</f>
        <v>#DIV/0!</v>
      </c>
    </row>
    <row r="583" spans="1:30">
      <c r="A583">
        <v>582</v>
      </c>
      <c r="B583" t="s">
        <v>22</v>
      </c>
      <c r="C583">
        <v>5</v>
      </c>
      <c r="D583" t="s">
        <v>28</v>
      </c>
      <c r="E583">
        <v>10</v>
      </c>
      <c r="F583" t="s">
        <v>25</v>
      </c>
      <c r="I583">
        <f>H583-G583</f>
        <v>0</v>
      </c>
      <c r="J583">
        <v>5</v>
      </c>
      <c r="K583">
        <f t="shared" si="587"/>
        <v>57.157143750000003</v>
      </c>
      <c r="L583">
        <f t="shared" si="584"/>
        <v>0</v>
      </c>
      <c r="M583" s="4"/>
      <c r="N583" s="4"/>
      <c r="O583" s="4"/>
      <c r="P583" s="4"/>
      <c r="Q583" s="4"/>
      <c r="R583" s="4"/>
    </row>
    <row r="584" spans="1:30">
      <c r="A584">
        <v>583</v>
      </c>
      <c r="B584" t="s">
        <v>22</v>
      </c>
      <c r="C584">
        <v>5</v>
      </c>
      <c r="D584" t="s">
        <v>28</v>
      </c>
      <c r="E584">
        <v>10</v>
      </c>
      <c r="F584" t="s">
        <v>26</v>
      </c>
      <c r="I584">
        <f>H584-G584</f>
        <v>0</v>
      </c>
      <c r="J584">
        <v>5</v>
      </c>
      <c r="K584">
        <f t="shared" si="587"/>
        <v>57.157143750000003</v>
      </c>
      <c r="L584">
        <f t="shared" si="584"/>
        <v>0</v>
      </c>
      <c r="S584">
        <f t="shared" ref="S584" si="593">R584-N584</f>
        <v>0</v>
      </c>
      <c r="T584" t="e">
        <f t="shared" ref="T584" si="594">((O584-S584)/O584)*100</f>
        <v>#DIV/0!</v>
      </c>
      <c r="U584" t="e">
        <f t="shared" si="590"/>
        <v>#DIV/0!</v>
      </c>
      <c r="V584" t="e">
        <f>L584*(U584/100)</f>
        <v>#DIV/0!</v>
      </c>
    </row>
    <row r="585" spans="1:30">
      <c r="A585">
        <v>584</v>
      </c>
      <c r="B585" t="s">
        <v>22</v>
      </c>
      <c r="C585">
        <v>5</v>
      </c>
      <c r="D585" t="s">
        <v>28</v>
      </c>
      <c r="E585">
        <v>10</v>
      </c>
      <c r="F585" t="s">
        <v>27</v>
      </c>
      <c r="I585">
        <f>H585-G585</f>
        <v>0</v>
      </c>
      <c r="J585">
        <v>5</v>
      </c>
      <c r="K585">
        <f t="shared" si="587"/>
        <v>57.157143750000003</v>
      </c>
      <c r="L585">
        <f t="shared" si="584"/>
        <v>0</v>
      </c>
      <c r="M585" s="4"/>
      <c r="N585" s="4"/>
      <c r="O585" s="4"/>
      <c r="P585" s="4"/>
      <c r="Q585" s="4"/>
      <c r="R585" s="4"/>
    </row>
    <row r="586" spans="1:30">
      <c r="A586">
        <v>585</v>
      </c>
      <c r="B586" t="s">
        <v>22</v>
      </c>
      <c r="C586">
        <v>5</v>
      </c>
      <c r="D586" t="s">
        <v>29</v>
      </c>
      <c r="E586">
        <v>10</v>
      </c>
      <c r="F586" t="s">
        <v>24</v>
      </c>
      <c r="I586">
        <f>H586-G586</f>
        <v>0</v>
      </c>
      <c r="J586">
        <v>5</v>
      </c>
      <c r="K586">
        <f t="shared" si="587"/>
        <v>57.157143750000003</v>
      </c>
      <c r="L586">
        <f t="shared" si="584"/>
        <v>0</v>
      </c>
      <c r="S586">
        <f t="shared" ref="S586" si="595">R586-N586</f>
        <v>0</v>
      </c>
      <c r="T586" t="e">
        <f t="shared" ref="T586" si="596">((O586-S586)/O586)*100</f>
        <v>#DIV/0!</v>
      </c>
      <c r="U586" t="e">
        <f t="shared" si="590"/>
        <v>#DIV/0!</v>
      </c>
      <c r="V586" t="e">
        <f>L586*(U586/100)</f>
        <v>#DIV/0!</v>
      </c>
    </row>
    <row r="587" spans="1:30">
      <c r="A587">
        <v>586</v>
      </c>
      <c r="B587" t="s">
        <v>22</v>
      </c>
      <c r="C587">
        <v>5</v>
      </c>
      <c r="D587" s="5" t="s">
        <v>29</v>
      </c>
      <c r="E587">
        <v>10</v>
      </c>
      <c r="F587" t="s">
        <v>25</v>
      </c>
      <c r="I587">
        <f>H587-G587</f>
        <v>0</v>
      </c>
      <c r="J587">
        <v>5</v>
      </c>
      <c r="K587">
        <f t="shared" si="587"/>
        <v>57.157143750000003</v>
      </c>
      <c r="L587">
        <f t="shared" si="584"/>
        <v>0</v>
      </c>
      <c r="M587" s="4"/>
      <c r="N587" s="4"/>
      <c r="O587" s="4"/>
      <c r="P587" s="4"/>
      <c r="Q587" s="4"/>
      <c r="R587" s="4"/>
    </row>
    <row r="588" spans="1:30">
      <c r="A588">
        <v>587</v>
      </c>
      <c r="B588" t="s">
        <v>22</v>
      </c>
      <c r="C588">
        <v>5</v>
      </c>
      <c r="D588" t="s">
        <v>29</v>
      </c>
      <c r="E588">
        <v>10</v>
      </c>
      <c r="F588" t="s">
        <v>26</v>
      </c>
      <c r="I588">
        <f>H588-G588</f>
        <v>0</v>
      </c>
      <c r="J588">
        <v>5</v>
      </c>
      <c r="K588">
        <f t="shared" si="587"/>
        <v>57.157143750000003</v>
      </c>
      <c r="L588">
        <f t="shared" si="584"/>
        <v>0</v>
      </c>
      <c r="S588">
        <f t="shared" ref="S588" si="597">R588-N588</f>
        <v>0</v>
      </c>
      <c r="T588" t="e">
        <f t="shared" ref="T588" si="598">((O588-S588)/O588)*100</f>
        <v>#DIV/0!</v>
      </c>
      <c r="U588" t="e">
        <f t="shared" si="590"/>
        <v>#DIV/0!</v>
      </c>
      <c r="V588" t="e">
        <f>L588*(U588/100)</f>
        <v>#DIV/0!</v>
      </c>
    </row>
    <row r="589" spans="1:30">
      <c r="A589">
        <v>588</v>
      </c>
      <c r="B589" t="s">
        <v>22</v>
      </c>
      <c r="C589">
        <v>5</v>
      </c>
      <c r="D589" s="5" t="s">
        <v>29</v>
      </c>
      <c r="E589">
        <v>10</v>
      </c>
      <c r="F589" t="s">
        <v>27</v>
      </c>
      <c r="I589">
        <f>H589-G589</f>
        <v>0</v>
      </c>
      <c r="J589">
        <v>5</v>
      </c>
      <c r="K589">
        <f t="shared" si="587"/>
        <v>57.157143750000003</v>
      </c>
      <c r="L589">
        <f t="shared" si="584"/>
        <v>0</v>
      </c>
      <c r="M589" s="4"/>
      <c r="N589" s="4"/>
      <c r="O589" s="4"/>
      <c r="P589" s="4"/>
      <c r="Q589" s="4"/>
      <c r="R589" s="4"/>
    </row>
    <row r="590" spans="1:30">
      <c r="A590">
        <v>589</v>
      </c>
      <c r="B590" t="s">
        <v>22</v>
      </c>
      <c r="C590">
        <v>5</v>
      </c>
      <c r="D590" t="s">
        <v>30</v>
      </c>
      <c r="E590">
        <v>10</v>
      </c>
      <c r="F590" t="s">
        <v>24</v>
      </c>
      <c r="I590">
        <f>H590-G590</f>
        <v>0</v>
      </c>
      <c r="J590">
        <v>5</v>
      </c>
      <c r="K590">
        <f t="shared" si="587"/>
        <v>57.157143750000003</v>
      </c>
      <c r="L590">
        <f t="shared" ref="L590:L653" si="599">I590/K590</f>
        <v>0</v>
      </c>
      <c r="S590">
        <f t="shared" ref="S590" si="600">R590-N590</f>
        <v>0</v>
      </c>
      <c r="T590" t="e">
        <f t="shared" ref="T590" si="601">((O590-S590)/O590)*100</f>
        <v>#DIV/0!</v>
      </c>
      <c r="U590" t="e">
        <f t="shared" si="590"/>
        <v>#DIV/0!</v>
      </c>
      <c r="V590" t="e">
        <f>L590*(U590/100)</f>
        <v>#DIV/0!</v>
      </c>
    </row>
    <row r="591" spans="1:30">
      <c r="A591">
        <v>590</v>
      </c>
      <c r="B591" t="s">
        <v>22</v>
      </c>
      <c r="C591">
        <v>5</v>
      </c>
      <c r="D591" s="5" t="s">
        <v>30</v>
      </c>
      <c r="E591">
        <v>10</v>
      </c>
      <c r="F591" t="s">
        <v>25</v>
      </c>
      <c r="I591">
        <f>H591-G591</f>
        <v>0</v>
      </c>
      <c r="J591">
        <v>5</v>
      </c>
      <c r="K591">
        <f t="shared" si="587"/>
        <v>57.157143750000003</v>
      </c>
      <c r="L591">
        <f t="shared" si="599"/>
        <v>0</v>
      </c>
      <c r="M591" s="4"/>
      <c r="N591" s="4"/>
      <c r="O591" s="4"/>
      <c r="P591" s="4"/>
      <c r="Q591" s="4"/>
      <c r="R591" s="4"/>
    </row>
    <row r="592" spans="1:30">
      <c r="A592">
        <v>591</v>
      </c>
      <c r="B592" t="s">
        <v>22</v>
      </c>
      <c r="C592">
        <v>5</v>
      </c>
      <c r="D592" t="s">
        <v>30</v>
      </c>
      <c r="E592">
        <v>10</v>
      </c>
      <c r="F592" t="s">
        <v>26</v>
      </c>
      <c r="I592">
        <f>H592-G592</f>
        <v>0</v>
      </c>
      <c r="J592">
        <v>5</v>
      </c>
      <c r="K592">
        <f t="shared" si="587"/>
        <v>57.157143750000003</v>
      </c>
      <c r="L592">
        <f t="shared" si="599"/>
        <v>0</v>
      </c>
      <c r="S592">
        <f t="shared" ref="S592" si="602">R592-N592</f>
        <v>0</v>
      </c>
      <c r="T592" t="e">
        <f t="shared" ref="T592" si="603">((O592-S592)/O592)*100</f>
        <v>#DIV/0!</v>
      </c>
      <c r="U592" t="e">
        <f t="shared" si="590"/>
        <v>#DIV/0!</v>
      </c>
      <c r="V592" t="e">
        <f>L592*(U592/100)</f>
        <v>#DIV/0!</v>
      </c>
    </row>
    <row r="593" spans="1:22">
      <c r="A593">
        <v>592</v>
      </c>
      <c r="B593" t="s">
        <v>22</v>
      </c>
      <c r="C593">
        <v>5</v>
      </c>
      <c r="D593" s="5" t="s">
        <v>30</v>
      </c>
      <c r="E593">
        <v>10</v>
      </c>
      <c r="F593" t="s">
        <v>27</v>
      </c>
      <c r="I593">
        <f>H593-G593</f>
        <v>0</v>
      </c>
      <c r="J593">
        <v>5</v>
      </c>
      <c r="K593">
        <f t="shared" si="587"/>
        <v>57.157143750000003</v>
      </c>
      <c r="L593">
        <f t="shared" si="599"/>
        <v>0</v>
      </c>
      <c r="M593" s="4"/>
      <c r="N593" s="4"/>
      <c r="O593" s="4"/>
      <c r="P593" s="4"/>
      <c r="Q593" s="4"/>
      <c r="R593" s="4"/>
    </row>
    <row r="594" spans="1:22">
      <c r="A594">
        <v>593</v>
      </c>
      <c r="B594" t="s">
        <v>22</v>
      </c>
      <c r="C594">
        <v>5</v>
      </c>
      <c r="D594" t="s">
        <v>23</v>
      </c>
      <c r="E594">
        <v>11</v>
      </c>
      <c r="F594" s="5" t="s">
        <v>24</v>
      </c>
      <c r="I594">
        <f>H594-G594</f>
        <v>0</v>
      </c>
      <c r="J594">
        <v>5</v>
      </c>
      <c r="K594">
        <f t="shared" si="587"/>
        <v>57.157143750000003</v>
      </c>
      <c r="L594">
        <f t="shared" si="599"/>
        <v>0</v>
      </c>
      <c r="S594">
        <f t="shared" ref="S594" si="604">R594-N594</f>
        <v>0</v>
      </c>
      <c r="T594" t="e">
        <f t="shared" ref="T594" si="605">((O594-S594)/O594)*100</f>
        <v>#DIV/0!</v>
      </c>
      <c r="U594" t="e">
        <f t="shared" si="590"/>
        <v>#DIV/0!</v>
      </c>
      <c r="V594" t="e">
        <f>L594*(U594/100)</f>
        <v>#DIV/0!</v>
      </c>
    </row>
    <row r="595" spans="1:22">
      <c r="A595">
        <v>594</v>
      </c>
      <c r="B595" t="s">
        <v>22</v>
      </c>
      <c r="C595">
        <v>5</v>
      </c>
      <c r="D595" t="s">
        <v>23</v>
      </c>
      <c r="E595">
        <v>11</v>
      </c>
      <c r="F595" s="5" t="s">
        <v>25</v>
      </c>
      <c r="I595">
        <f>H595-G595</f>
        <v>0</v>
      </c>
      <c r="J595">
        <v>5</v>
      </c>
      <c r="K595">
        <f t="shared" si="587"/>
        <v>57.157143750000003</v>
      </c>
      <c r="L595">
        <f t="shared" si="599"/>
        <v>0</v>
      </c>
      <c r="M595" s="4"/>
      <c r="N595" s="4"/>
      <c r="O595" s="4"/>
      <c r="P595" s="4"/>
      <c r="Q595" s="4"/>
      <c r="R595" s="4"/>
    </row>
    <row r="596" spans="1:22">
      <c r="A596">
        <v>595</v>
      </c>
      <c r="B596" t="s">
        <v>22</v>
      </c>
      <c r="C596">
        <v>5</v>
      </c>
      <c r="D596" t="s">
        <v>23</v>
      </c>
      <c r="E596">
        <v>11</v>
      </c>
      <c r="F596" s="5" t="s">
        <v>26</v>
      </c>
      <c r="I596">
        <f>H596-G596</f>
        <v>0</v>
      </c>
      <c r="J596">
        <v>5</v>
      </c>
      <c r="K596">
        <f t="shared" si="587"/>
        <v>57.157143750000003</v>
      </c>
      <c r="L596">
        <f t="shared" si="599"/>
        <v>0</v>
      </c>
      <c r="S596">
        <f t="shared" ref="S596" si="606">R596-N596</f>
        <v>0</v>
      </c>
      <c r="T596" t="e">
        <f t="shared" ref="T596" si="607">((O596-S596)/O596)*100</f>
        <v>#DIV/0!</v>
      </c>
      <c r="U596" t="e">
        <f t="shared" si="590"/>
        <v>#DIV/0!</v>
      </c>
      <c r="V596" t="e">
        <f>L596*(U596/100)</f>
        <v>#DIV/0!</v>
      </c>
    </row>
    <row r="597" spans="1:22">
      <c r="A597">
        <v>596</v>
      </c>
      <c r="B597" t="s">
        <v>22</v>
      </c>
      <c r="C597">
        <v>5</v>
      </c>
      <c r="D597" t="s">
        <v>23</v>
      </c>
      <c r="E597">
        <v>11</v>
      </c>
      <c r="F597" s="5" t="s">
        <v>27</v>
      </c>
      <c r="I597">
        <f>H597-G597</f>
        <v>0</v>
      </c>
      <c r="J597">
        <v>5</v>
      </c>
      <c r="K597">
        <f t="shared" si="587"/>
        <v>57.157143750000003</v>
      </c>
      <c r="L597">
        <f t="shared" si="599"/>
        <v>0</v>
      </c>
      <c r="M597" s="4"/>
      <c r="N597" s="4"/>
      <c r="O597" s="4"/>
      <c r="P597" s="4"/>
      <c r="Q597" s="4"/>
      <c r="R597" s="4"/>
    </row>
    <row r="598" spans="1:22">
      <c r="A598">
        <v>597</v>
      </c>
      <c r="B598" t="s">
        <v>22</v>
      </c>
      <c r="C598">
        <v>5</v>
      </c>
      <c r="D598" t="s">
        <v>28</v>
      </c>
      <c r="E598">
        <v>11</v>
      </c>
      <c r="F598" s="5" t="s">
        <v>24</v>
      </c>
      <c r="I598">
        <f>H598-G598</f>
        <v>0</v>
      </c>
      <c r="J598">
        <v>5</v>
      </c>
      <c r="K598">
        <f t="shared" si="587"/>
        <v>57.157143750000003</v>
      </c>
      <c r="L598">
        <f t="shared" si="599"/>
        <v>0</v>
      </c>
      <c r="S598">
        <f t="shared" ref="S598" si="608">R598-N598</f>
        <v>0</v>
      </c>
      <c r="T598" t="e">
        <f t="shared" ref="T598" si="609">((O598-S598)/O598)*100</f>
        <v>#DIV/0!</v>
      </c>
      <c r="U598" t="e">
        <f t="shared" si="590"/>
        <v>#DIV/0!</v>
      </c>
      <c r="V598" t="e">
        <f>L598*(U598/100)</f>
        <v>#DIV/0!</v>
      </c>
    </row>
    <row r="599" spans="1:22">
      <c r="A599">
        <v>598</v>
      </c>
      <c r="B599" t="s">
        <v>22</v>
      </c>
      <c r="C599">
        <v>5</v>
      </c>
      <c r="D599" t="s">
        <v>28</v>
      </c>
      <c r="E599">
        <v>11</v>
      </c>
      <c r="F599" s="5" t="s">
        <v>25</v>
      </c>
      <c r="I599">
        <f>H599-G599</f>
        <v>0</v>
      </c>
      <c r="J599">
        <v>5</v>
      </c>
      <c r="K599">
        <f t="shared" si="587"/>
        <v>57.157143750000003</v>
      </c>
      <c r="L599">
        <f t="shared" si="599"/>
        <v>0</v>
      </c>
      <c r="M599" s="4"/>
      <c r="N599" s="4"/>
      <c r="O599" s="4"/>
      <c r="P599" s="4"/>
      <c r="Q599" s="4"/>
      <c r="R599" s="4"/>
    </row>
    <row r="600" spans="1:22">
      <c r="A600">
        <v>599</v>
      </c>
      <c r="B600" t="s">
        <v>22</v>
      </c>
      <c r="C600">
        <v>5</v>
      </c>
      <c r="D600" t="s">
        <v>28</v>
      </c>
      <c r="E600">
        <v>11</v>
      </c>
      <c r="F600" s="5" t="s">
        <v>26</v>
      </c>
      <c r="I600">
        <f>H600-G600</f>
        <v>0</v>
      </c>
      <c r="J600">
        <v>5</v>
      </c>
      <c r="K600">
        <f t="shared" si="587"/>
        <v>57.157143750000003</v>
      </c>
      <c r="L600">
        <f t="shared" si="599"/>
        <v>0</v>
      </c>
      <c r="S600">
        <f t="shared" ref="S600" si="610">R600-N600</f>
        <v>0</v>
      </c>
      <c r="T600" t="e">
        <f t="shared" ref="T600" si="611">((O600-S600)/O600)*100</f>
        <v>#DIV/0!</v>
      </c>
      <c r="U600" t="e">
        <f t="shared" si="590"/>
        <v>#DIV/0!</v>
      </c>
      <c r="V600" t="e">
        <f>L600*(U600/100)</f>
        <v>#DIV/0!</v>
      </c>
    </row>
    <row r="601" spans="1:22">
      <c r="A601">
        <v>600</v>
      </c>
      <c r="B601" t="s">
        <v>22</v>
      </c>
      <c r="C601">
        <v>5</v>
      </c>
      <c r="D601" t="s">
        <v>28</v>
      </c>
      <c r="E601">
        <v>11</v>
      </c>
      <c r="F601" s="5" t="s">
        <v>27</v>
      </c>
      <c r="I601">
        <f>H601-G601</f>
        <v>0</v>
      </c>
      <c r="J601">
        <v>5</v>
      </c>
      <c r="K601">
        <f t="shared" si="587"/>
        <v>57.157143750000003</v>
      </c>
      <c r="L601">
        <f t="shared" si="599"/>
        <v>0</v>
      </c>
      <c r="M601" s="4"/>
      <c r="N601" s="4"/>
      <c r="O601" s="4"/>
      <c r="P601" s="4"/>
      <c r="Q601" s="4"/>
      <c r="R601" s="4"/>
    </row>
    <row r="602" spans="1:22">
      <c r="A602">
        <v>601</v>
      </c>
      <c r="B602" t="s">
        <v>22</v>
      </c>
      <c r="C602">
        <v>5</v>
      </c>
      <c r="D602" t="s">
        <v>29</v>
      </c>
      <c r="E602">
        <v>11</v>
      </c>
      <c r="F602" s="5" t="s">
        <v>24</v>
      </c>
      <c r="I602">
        <f>H602-G602</f>
        <v>0</v>
      </c>
      <c r="J602">
        <v>5</v>
      </c>
      <c r="K602">
        <f t="shared" si="587"/>
        <v>57.157143750000003</v>
      </c>
      <c r="L602">
        <f t="shared" si="599"/>
        <v>0</v>
      </c>
      <c r="S602">
        <f t="shared" ref="S602" si="612">R602-N602</f>
        <v>0</v>
      </c>
      <c r="T602" t="e">
        <f t="shared" ref="T602" si="613">((O602-S602)/O602)*100</f>
        <v>#DIV/0!</v>
      </c>
      <c r="U602" t="e">
        <f t="shared" si="590"/>
        <v>#DIV/0!</v>
      </c>
      <c r="V602" t="e">
        <f>L602*(U602/100)</f>
        <v>#DIV/0!</v>
      </c>
    </row>
    <row r="603" spans="1:22">
      <c r="A603">
        <v>602</v>
      </c>
      <c r="B603" t="s">
        <v>22</v>
      </c>
      <c r="C603">
        <v>5</v>
      </c>
      <c r="D603" s="5" t="s">
        <v>29</v>
      </c>
      <c r="E603">
        <v>11</v>
      </c>
      <c r="F603" s="5" t="s">
        <v>25</v>
      </c>
      <c r="I603">
        <f>H603-G603</f>
        <v>0</v>
      </c>
      <c r="J603">
        <v>5</v>
      </c>
      <c r="K603">
        <f t="shared" si="587"/>
        <v>57.157143750000003</v>
      </c>
      <c r="L603">
        <f t="shared" si="599"/>
        <v>0</v>
      </c>
      <c r="M603" s="4"/>
      <c r="N603" s="4"/>
      <c r="O603" s="4"/>
      <c r="P603" s="4"/>
      <c r="Q603" s="4"/>
      <c r="R603" s="4"/>
    </row>
    <row r="604" spans="1:22">
      <c r="A604">
        <v>603</v>
      </c>
      <c r="B604" t="s">
        <v>22</v>
      </c>
      <c r="C604">
        <v>5</v>
      </c>
      <c r="D604" t="s">
        <v>29</v>
      </c>
      <c r="E604">
        <v>11</v>
      </c>
      <c r="F604" s="5" t="s">
        <v>26</v>
      </c>
      <c r="I604">
        <f>H604-G604</f>
        <v>0</v>
      </c>
      <c r="J604">
        <v>5</v>
      </c>
      <c r="K604">
        <f t="shared" si="587"/>
        <v>57.157143750000003</v>
      </c>
      <c r="L604">
        <f t="shared" si="599"/>
        <v>0</v>
      </c>
      <c r="S604">
        <f t="shared" ref="S604" si="614">R604-N604</f>
        <v>0</v>
      </c>
      <c r="T604" t="e">
        <f t="shared" ref="T604" si="615">((O604-S604)/O604)*100</f>
        <v>#DIV/0!</v>
      </c>
      <c r="U604" t="e">
        <f t="shared" si="590"/>
        <v>#DIV/0!</v>
      </c>
      <c r="V604" t="e">
        <f>L604*(U604/100)</f>
        <v>#DIV/0!</v>
      </c>
    </row>
    <row r="605" spans="1:22">
      <c r="A605">
        <v>604</v>
      </c>
      <c r="B605" t="s">
        <v>22</v>
      </c>
      <c r="C605">
        <v>5</v>
      </c>
      <c r="D605" s="5" t="s">
        <v>29</v>
      </c>
      <c r="E605">
        <v>11</v>
      </c>
      <c r="F605" s="5" t="s">
        <v>27</v>
      </c>
      <c r="I605">
        <f>H605-G605</f>
        <v>0</v>
      </c>
      <c r="J605">
        <v>5</v>
      </c>
      <c r="K605">
        <f t="shared" si="587"/>
        <v>57.157143750000003</v>
      </c>
      <c r="L605">
        <f t="shared" si="599"/>
        <v>0</v>
      </c>
      <c r="M605" s="4"/>
      <c r="N605" s="4"/>
      <c r="O605" s="4"/>
      <c r="P605" s="4"/>
      <c r="Q605" s="4"/>
      <c r="R605" s="4"/>
    </row>
    <row r="606" spans="1:22">
      <c r="A606">
        <v>605</v>
      </c>
      <c r="B606" t="s">
        <v>22</v>
      </c>
      <c r="C606">
        <v>5</v>
      </c>
      <c r="D606" t="s">
        <v>30</v>
      </c>
      <c r="E606">
        <v>11</v>
      </c>
      <c r="F606" s="5" t="s">
        <v>24</v>
      </c>
      <c r="I606">
        <f>H606-G606</f>
        <v>0</v>
      </c>
      <c r="J606">
        <v>5</v>
      </c>
      <c r="K606">
        <f t="shared" si="587"/>
        <v>57.157143750000003</v>
      </c>
      <c r="L606">
        <f t="shared" si="599"/>
        <v>0</v>
      </c>
      <c r="S606">
        <f t="shared" ref="S606" si="616">R606-N606</f>
        <v>0</v>
      </c>
      <c r="T606" t="e">
        <f t="shared" ref="T606" si="617">((O606-S606)/O606)*100</f>
        <v>#DIV/0!</v>
      </c>
      <c r="U606" t="e">
        <f t="shared" si="590"/>
        <v>#DIV/0!</v>
      </c>
      <c r="V606" t="e">
        <f>L606*(U606/100)</f>
        <v>#DIV/0!</v>
      </c>
    </row>
    <row r="607" spans="1:22">
      <c r="A607">
        <v>606</v>
      </c>
      <c r="B607" t="s">
        <v>22</v>
      </c>
      <c r="C607">
        <v>5</v>
      </c>
      <c r="D607" s="5" t="s">
        <v>30</v>
      </c>
      <c r="E607">
        <v>11</v>
      </c>
      <c r="F607" s="5" t="s">
        <v>25</v>
      </c>
      <c r="I607">
        <f>H607-G607</f>
        <v>0</v>
      </c>
      <c r="J607">
        <v>5</v>
      </c>
      <c r="K607">
        <f t="shared" si="587"/>
        <v>57.157143750000003</v>
      </c>
      <c r="L607">
        <f t="shared" si="599"/>
        <v>0</v>
      </c>
      <c r="M607" s="4"/>
      <c r="N607" s="4"/>
      <c r="O607" s="4"/>
      <c r="P607" s="4"/>
      <c r="Q607" s="4"/>
      <c r="R607" s="4"/>
    </row>
    <row r="608" spans="1:22">
      <c r="A608">
        <v>607</v>
      </c>
      <c r="B608" t="s">
        <v>22</v>
      </c>
      <c r="C608">
        <v>5</v>
      </c>
      <c r="D608" t="s">
        <v>30</v>
      </c>
      <c r="E608">
        <v>11</v>
      </c>
      <c r="F608" s="5" t="s">
        <v>26</v>
      </c>
      <c r="I608">
        <f>H608-G608</f>
        <v>0</v>
      </c>
      <c r="J608">
        <v>5</v>
      </c>
      <c r="K608">
        <f t="shared" si="587"/>
        <v>57.157143750000003</v>
      </c>
      <c r="L608">
        <f t="shared" si="599"/>
        <v>0</v>
      </c>
      <c r="S608">
        <f t="shared" ref="S608" si="618">R608-N608</f>
        <v>0</v>
      </c>
      <c r="T608" t="e">
        <f t="shared" ref="T608" si="619">((O608-S608)/O608)*100</f>
        <v>#DIV/0!</v>
      </c>
      <c r="U608" t="e">
        <f t="shared" si="590"/>
        <v>#DIV/0!</v>
      </c>
      <c r="V608" t="e">
        <f>L608*(U608/100)</f>
        <v>#DIV/0!</v>
      </c>
    </row>
    <row r="609" spans="1:22">
      <c r="A609">
        <v>608</v>
      </c>
      <c r="B609" t="s">
        <v>22</v>
      </c>
      <c r="C609">
        <v>5</v>
      </c>
      <c r="D609" s="5" t="s">
        <v>30</v>
      </c>
      <c r="E609">
        <v>11</v>
      </c>
      <c r="F609" s="5" t="s">
        <v>27</v>
      </c>
      <c r="I609">
        <f>H609-G609</f>
        <v>0</v>
      </c>
      <c r="J609">
        <v>5</v>
      </c>
      <c r="K609">
        <f t="shared" si="587"/>
        <v>57.157143750000003</v>
      </c>
      <c r="L609">
        <f t="shared" si="599"/>
        <v>0</v>
      </c>
      <c r="M609" s="4"/>
      <c r="N609" s="4"/>
      <c r="O609" s="4"/>
      <c r="P609" s="4"/>
      <c r="Q609" s="4"/>
      <c r="R609" s="4"/>
    </row>
    <row r="610" spans="1:22">
      <c r="A610">
        <v>609</v>
      </c>
      <c r="B610" t="s">
        <v>22</v>
      </c>
      <c r="C610">
        <v>5</v>
      </c>
      <c r="D610" t="s">
        <v>23</v>
      </c>
      <c r="E610">
        <v>12</v>
      </c>
      <c r="F610" s="5" t="s">
        <v>24</v>
      </c>
      <c r="I610">
        <f>H610-G610</f>
        <v>0</v>
      </c>
      <c r="J610">
        <v>5</v>
      </c>
      <c r="K610">
        <f t="shared" si="587"/>
        <v>57.157143750000003</v>
      </c>
      <c r="L610">
        <f t="shared" si="599"/>
        <v>0</v>
      </c>
      <c r="S610">
        <f t="shared" ref="S610" si="620">R610-N610</f>
        <v>0</v>
      </c>
      <c r="T610" t="e">
        <f t="shared" ref="T610" si="621">((O610-S610)/O610)*100</f>
        <v>#DIV/0!</v>
      </c>
      <c r="U610" t="e">
        <f t="shared" si="590"/>
        <v>#DIV/0!</v>
      </c>
      <c r="V610" t="e">
        <f>L610*(U610/100)</f>
        <v>#DIV/0!</v>
      </c>
    </row>
    <row r="611" spans="1:22">
      <c r="A611">
        <v>610</v>
      </c>
      <c r="B611" t="s">
        <v>22</v>
      </c>
      <c r="C611">
        <v>5</v>
      </c>
      <c r="D611" t="s">
        <v>23</v>
      </c>
      <c r="E611">
        <v>12</v>
      </c>
      <c r="F611" s="5" t="s">
        <v>25</v>
      </c>
      <c r="I611">
        <f>H611-G611</f>
        <v>0</v>
      </c>
      <c r="J611">
        <v>5</v>
      </c>
      <c r="K611">
        <f t="shared" si="587"/>
        <v>57.157143750000003</v>
      </c>
      <c r="L611">
        <f t="shared" si="599"/>
        <v>0</v>
      </c>
      <c r="M611" s="4"/>
      <c r="N611" s="4"/>
      <c r="O611" s="4"/>
      <c r="P611" s="4"/>
      <c r="Q611" s="4"/>
      <c r="R611" s="4"/>
    </row>
    <row r="612" spans="1:22">
      <c r="A612">
        <v>611</v>
      </c>
      <c r="B612" t="s">
        <v>22</v>
      </c>
      <c r="C612">
        <v>5</v>
      </c>
      <c r="D612" t="s">
        <v>23</v>
      </c>
      <c r="E612">
        <v>12</v>
      </c>
      <c r="F612" s="5" t="s">
        <v>26</v>
      </c>
      <c r="I612">
        <f>H612-G612</f>
        <v>0</v>
      </c>
      <c r="J612">
        <v>5</v>
      </c>
      <c r="K612">
        <f t="shared" si="587"/>
        <v>57.157143750000003</v>
      </c>
      <c r="L612">
        <f t="shared" si="599"/>
        <v>0</v>
      </c>
      <c r="S612">
        <f t="shared" ref="S612" si="622">R612-N612</f>
        <v>0</v>
      </c>
      <c r="T612" t="e">
        <f t="shared" ref="T612" si="623">((O612-S612)/O612)*100</f>
        <v>#DIV/0!</v>
      </c>
      <c r="U612" t="e">
        <f t="shared" si="590"/>
        <v>#DIV/0!</v>
      </c>
      <c r="V612" t="e">
        <f>L612*(U612/100)</f>
        <v>#DIV/0!</v>
      </c>
    </row>
    <row r="613" spans="1:22">
      <c r="A613">
        <v>612</v>
      </c>
      <c r="B613" t="s">
        <v>22</v>
      </c>
      <c r="C613">
        <v>5</v>
      </c>
      <c r="D613" t="s">
        <v>23</v>
      </c>
      <c r="E613">
        <v>12</v>
      </c>
      <c r="F613" s="5" t="s">
        <v>27</v>
      </c>
      <c r="I613">
        <f>H613-G613</f>
        <v>0</v>
      </c>
      <c r="J613">
        <v>5</v>
      </c>
      <c r="K613">
        <f t="shared" si="587"/>
        <v>57.157143750000003</v>
      </c>
      <c r="L613">
        <f t="shared" si="599"/>
        <v>0</v>
      </c>
      <c r="M613" s="4"/>
      <c r="N613" s="4"/>
      <c r="O613" s="4"/>
      <c r="P613" s="4"/>
      <c r="Q613" s="4"/>
      <c r="R613" s="4"/>
    </row>
    <row r="614" spans="1:22">
      <c r="A614">
        <v>613</v>
      </c>
      <c r="B614" t="s">
        <v>22</v>
      </c>
      <c r="C614">
        <v>5</v>
      </c>
      <c r="D614" t="s">
        <v>28</v>
      </c>
      <c r="E614">
        <v>12</v>
      </c>
      <c r="F614" s="5" t="s">
        <v>24</v>
      </c>
      <c r="I614">
        <f>H614-G614</f>
        <v>0</v>
      </c>
      <c r="J614">
        <v>5</v>
      </c>
      <c r="K614">
        <f t="shared" si="587"/>
        <v>57.157143750000003</v>
      </c>
      <c r="L614">
        <f t="shared" si="599"/>
        <v>0</v>
      </c>
      <c r="S614">
        <f t="shared" ref="S614" si="624">R614-N614</f>
        <v>0</v>
      </c>
      <c r="T614" t="e">
        <f t="shared" ref="T614" si="625">((O614-S614)/O614)*100</f>
        <v>#DIV/0!</v>
      </c>
      <c r="U614" t="e">
        <f t="shared" si="590"/>
        <v>#DIV/0!</v>
      </c>
      <c r="V614" t="e">
        <f>L614*(U614/100)</f>
        <v>#DIV/0!</v>
      </c>
    </row>
    <row r="615" spans="1:22">
      <c r="A615">
        <v>614</v>
      </c>
      <c r="B615" t="s">
        <v>22</v>
      </c>
      <c r="C615">
        <v>5</v>
      </c>
      <c r="D615" t="s">
        <v>28</v>
      </c>
      <c r="E615">
        <v>12</v>
      </c>
      <c r="F615" s="5" t="s">
        <v>25</v>
      </c>
      <c r="I615">
        <f>H615-G615</f>
        <v>0</v>
      </c>
      <c r="J615">
        <v>5</v>
      </c>
      <c r="K615">
        <f t="shared" si="587"/>
        <v>57.157143750000003</v>
      </c>
      <c r="L615">
        <f t="shared" si="599"/>
        <v>0</v>
      </c>
      <c r="M615" s="4"/>
      <c r="N615" s="4"/>
      <c r="O615" s="4"/>
      <c r="P615" s="4"/>
      <c r="Q615" s="4"/>
      <c r="R615" s="4"/>
    </row>
    <row r="616" spans="1:22">
      <c r="A616">
        <v>615</v>
      </c>
      <c r="B616" t="s">
        <v>22</v>
      </c>
      <c r="C616">
        <v>5</v>
      </c>
      <c r="D616" t="s">
        <v>28</v>
      </c>
      <c r="E616">
        <v>12</v>
      </c>
      <c r="F616" s="5" t="s">
        <v>26</v>
      </c>
      <c r="I616">
        <f>H616-G616</f>
        <v>0</v>
      </c>
      <c r="J616">
        <v>5</v>
      </c>
      <c r="K616">
        <f t="shared" si="587"/>
        <v>57.157143750000003</v>
      </c>
      <c r="L616">
        <f t="shared" si="599"/>
        <v>0</v>
      </c>
      <c r="S616">
        <f t="shared" ref="S616" si="626">R616-N616</f>
        <v>0</v>
      </c>
      <c r="T616" t="e">
        <f t="shared" ref="T616" si="627">((O616-S616)/O616)*100</f>
        <v>#DIV/0!</v>
      </c>
      <c r="U616" t="e">
        <f t="shared" si="590"/>
        <v>#DIV/0!</v>
      </c>
      <c r="V616" t="e">
        <f>L616*(U616/100)</f>
        <v>#DIV/0!</v>
      </c>
    </row>
    <row r="617" spans="1:22">
      <c r="A617">
        <v>616</v>
      </c>
      <c r="B617" t="s">
        <v>22</v>
      </c>
      <c r="C617">
        <v>5</v>
      </c>
      <c r="D617" t="s">
        <v>28</v>
      </c>
      <c r="E617">
        <v>12</v>
      </c>
      <c r="F617" s="5" t="s">
        <v>27</v>
      </c>
      <c r="I617">
        <f>H617-G617</f>
        <v>0</v>
      </c>
      <c r="J617">
        <v>5</v>
      </c>
      <c r="K617">
        <f t="shared" si="587"/>
        <v>57.157143750000003</v>
      </c>
      <c r="L617">
        <f t="shared" si="599"/>
        <v>0</v>
      </c>
      <c r="M617" s="4"/>
      <c r="N617" s="4"/>
      <c r="O617" s="4"/>
      <c r="P617" s="4"/>
      <c r="Q617" s="4"/>
      <c r="R617" s="4"/>
    </row>
    <row r="618" spans="1:22">
      <c r="A618">
        <v>617</v>
      </c>
      <c r="B618" t="s">
        <v>22</v>
      </c>
      <c r="C618">
        <v>5</v>
      </c>
      <c r="D618" t="s">
        <v>29</v>
      </c>
      <c r="E618">
        <v>12</v>
      </c>
      <c r="F618" s="5" t="s">
        <v>24</v>
      </c>
      <c r="I618">
        <f>H618-G618</f>
        <v>0</v>
      </c>
      <c r="J618">
        <v>5</v>
      </c>
      <c r="K618">
        <f t="shared" si="587"/>
        <v>57.157143750000003</v>
      </c>
      <c r="L618">
        <f t="shared" si="599"/>
        <v>0</v>
      </c>
      <c r="S618">
        <f t="shared" ref="S618" si="628">R618-N618</f>
        <v>0</v>
      </c>
      <c r="T618" t="e">
        <f t="shared" ref="T618" si="629">((O618-S618)/O618)*100</f>
        <v>#DIV/0!</v>
      </c>
      <c r="U618" t="e">
        <f t="shared" si="590"/>
        <v>#DIV/0!</v>
      </c>
      <c r="V618" t="e">
        <f>L618*(U618/100)</f>
        <v>#DIV/0!</v>
      </c>
    </row>
    <row r="619" spans="1:22">
      <c r="A619">
        <v>618</v>
      </c>
      <c r="B619" t="s">
        <v>22</v>
      </c>
      <c r="C619">
        <v>5</v>
      </c>
      <c r="D619" s="5" t="s">
        <v>29</v>
      </c>
      <c r="E619">
        <v>12</v>
      </c>
      <c r="F619" s="5" t="s">
        <v>25</v>
      </c>
      <c r="I619">
        <f>H619-G619</f>
        <v>0</v>
      </c>
      <c r="J619">
        <v>5</v>
      </c>
      <c r="K619">
        <f t="shared" si="587"/>
        <v>57.157143750000003</v>
      </c>
      <c r="L619">
        <f t="shared" si="599"/>
        <v>0</v>
      </c>
      <c r="M619" s="4"/>
      <c r="N619" s="4"/>
      <c r="O619" s="4"/>
      <c r="P619" s="4"/>
      <c r="Q619" s="4"/>
      <c r="R619" s="4"/>
    </row>
    <row r="620" spans="1:22">
      <c r="A620">
        <v>619</v>
      </c>
      <c r="B620" t="s">
        <v>22</v>
      </c>
      <c r="C620">
        <v>5</v>
      </c>
      <c r="D620" t="s">
        <v>29</v>
      </c>
      <c r="E620">
        <v>12</v>
      </c>
      <c r="F620" s="5" t="s">
        <v>26</v>
      </c>
      <c r="I620">
        <f>H620-G620</f>
        <v>0</v>
      </c>
      <c r="J620">
        <v>5</v>
      </c>
      <c r="K620">
        <f t="shared" si="587"/>
        <v>57.157143750000003</v>
      </c>
      <c r="L620">
        <f t="shared" si="599"/>
        <v>0</v>
      </c>
      <c r="S620">
        <f t="shared" ref="S620" si="630">R620-N620</f>
        <v>0</v>
      </c>
      <c r="T620" t="e">
        <f t="shared" ref="T620" si="631">((O620-S620)/O620)*100</f>
        <v>#DIV/0!</v>
      </c>
      <c r="U620" t="e">
        <f t="shared" si="590"/>
        <v>#DIV/0!</v>
      </c>
      <c r="V620" t="e">
        <f>L620*(U620/100)</f>
        <v>#DIV/0!</v>
      </c>
    </row>
    <row r="621" spans="1:22">
      <c r="A621">
        <v>620</v>
      </c>
      <c r="B621" t="s">
        <v>22</v>
      </c>
      <c r="C621">
        <v>5</v>
      </c>
      <c r="D621" s="5" t="s">
        <v>29</v>
      </c>
      <c r="E621">
        <v>12</v>
      </c>
      <c r="F621" s="5" t="s">
        <v>27</v>
      </c>
      <c r="I621">
        <f>H621-G621</f>
        <v>0</v>
      </c>
      <c r="J621">
        <v>5</v>
      </c>
      <c r="K621">
        <f t="shared" si="587"/>
        <v>57.157143750000003</v>
      </c>
      <c r="L621">
        <f t="shared" si="599"/>
        <v>0</v>
      </c>
      <c r="M621" s="4"/>
      <c r="N621" s="4"/>
      <c r="O621" s="4"/>
      <c r="P621" s="4"/>
      <c r="Q621" s="4"/>
      <c r="R621" s="4"/>
    </row>
    <row r="622" spans="1:22">
      <c r="A622">
        <v>621</v>
      </c>
      <c r="B622" t="s">
        <v>22</v>
      </c>
      <c r="C622">
        <v>5</v>
      </c>
      <c r="D622" t="s">
        <v>30</v>
      </c>
      <c r="E622">
        <v>12</v>
      </c>
      <c r="F622" s="5" t="s">
        <v>24</v>
      </c>
      <c r="I622">
        <f>H622-G622</f>
        <v>0</v>
      </c>
      <c r="J622">
        <v>5</v>
      </c>
      <c r="K622">
        <f t="shared" si="587"/>
        <v>57.157143750000003</v>
      </c>
      <c r="L622">
        <f t="shared" si="599"/>
        <v>0</v>
      </c>
      <c r="S622">
        <f t="shared" ref="S622" si="632">R622-N622</f>
        <v>0</v>
      </c>
      <c r="T622" t="e">
        <f t="shared" ref="T622" si="633">((O622-S622)/O622)*100</f>
        <v>#DIV/0!</v>
      </c>
      <c r="U622" t="e">
        <f t="shared" si="590"/>
        <v>#DIV/0!</v>
      </c>
      <c r="V622" t="e">
        <f>L622*(U622/100)</f>
        <v>#DIV/0!</v>
      </c>
    </row>
    <row r="623" spans="1:22">
      <c r="A623">
        <v>622</v>
      </c>
      <c r="B623" t="s">
        <v>22</v>
      </c>
      <c r="C623">
        <v>5</v>
      </c>
      <c r="D623" s="5" t="s">
        <v>30</v>
      </c>
      <c r="E623">
        <v>12</v>
      </c>
      <c r="F623" s="5" t="s">
        <v>25</v>
      </c>
      <c r="I623">
        <f>H623-G623</f>
        <v>0</v>
      </c>
      <c r="J623">
        <v>5</v>
      </c>
      <c r="K623">
        <f t="shared" si="587"/>
        <v>57.157143750000003</v>
      </c>
      <c r="L623">
        <f t="shared" si="599"/>
        <v>0</v>
      </c>
      <c r="M623" s="4"/>
      <c r="N623" s="4"/>
      <c r="O623" s="4"/>
      <c r="P623" s="4"/>
      <c r="Q623" s="4"/>
      <c r="R623" s="4"/>
    </row>
    <row r="624" spans="1:22">
      <c r="A624">
        <v>623</v>
      </c>
      <c r="B624" t="s">
        <v>22</v>
      </c>
      <c r="C624">
        <v>5</v>
      </c>
      <c r="D624" t="s">
        <v>30</v>
      </c>
      <c r="E624">
        <v>12</v>
      </c>
      <c r="F624" s="5" t="s">
        <v>26</v>
      </c>
      <c r="I624">
        <f>H624-G624</f>
        <v>0</v>
      </c>
      <c r="J624">
        <v>5</v>
      </c>
      <c r="K624">
        <f t="shared" si="587"/>
        <v>57.157143750000003</v>
      </c>
      <c r="L624">
        <f t="shared" si="599"/>
        <v>0</v>
      </c>
      <c r="S624">
        <f t="shared" ref="S624" si="634">R624-N624</f>
        <v>0</v>
      </c>
      <c r="T624" t="e">
        <f t="shared" ref="T624" si="635">((O624-S624)/O624)*100</f>
        <v>#DIV/0!</v>
      </c>
      <c r="U624" t="e">
        <f t="shared" si="590"/>
        <v>#DIV/0!</v>
      </c>
      <c r="V624" t="e">
        <f>L624*(U624/100)</f>
        <v>#DIV/0!</v>
      </c>
    </row>
    <row r="625" spans="1:22">
      <c r="A625">
        <v>624</v>
      </c>
      <c r="B625" t="s">
        <v>22</v>
      </c>
      <c r="C625">
        <v>5</v>
      </c>
      <c r="D625" s="5" t="s">
        <v>30</v>
      </c>
      <c r="E625">
        <v>12</v>
      </c>
      <c r="F625" s="5" t="s">
        <v>27</v>
      </c>
      <c r="I625">
        <f>H625-G625</f>
        <v>0</v>
      </c>
      <c r="J625">
        <v>5</v>
      </c>
      <c r="K625">
        <f t="shared" si="587"/>
        <v>57.157143750000003</v>
      </c>
      <c r="L625">
        <f t="shared" si="599"/>
        <v>0</v>
      </c>
      <c r="M625" s="4"/>
      <c r="N625" s="4"/>
      <c r="O625" s="4"/>
      <c r="P625" s="4"/>
      <c r="Q625" s="4"/>
      <c r="R625" s="4"/>
    </row>
    <row r="626" spans="1:22">
      <c r="A626">
        <v>625</v>
      </c>
      <c r="B626" t="s">
        <v>32</v>
      </c>
      <c r="C626">
        <v>5</v>
      </c>
      <c r="D626" t="s">
        <v>23</v>
      </c>
      <c r="E626">
        <v>10</v>
      </c>
      <c r="F626" t="s">
        <v>24</v>
      </c>
      <c r="I626">
        <f>H626-G626</f>
        <v>0</v>
      </c>
      <c r="J626">
        <v>5</v>
      </c>
      <c r="K626">
        <f t="shared" si="587"/>
        <v>57.157143750000003</v>
      </c>
      <c r="L626">
        <f t="shared" si="599"/>
        <v>0</v>
      </c>
      <c r="S626">
        <f t="shared" ref="S626" si="636">R626-N626</f>
        <v>0</v>
      </c>
      <c r="T626" t="e">
        <f t="shared" ref="T626" si="637">((O626-S626)/O626)*100</f>
        <v>#DIV/0!</v>
      </c>
      <c r="U626" t="e">
        <f t="shared" si="590"/>
        <v>#DIV/0!</v>
      </c>
      <c r="V626" t="e">
        <f>L626*(U626/100)</f>
        <v>#DIV/0!</v>
      </c>
    </row>
    <row r="627" spans="1:22">
      <c r="A627">
        <v>626</v>
      </c>
      <c r="B627" t="s">
        <v>32</v>
      </c>
      <c r="C627">
        <v>5</v>
      </c>
      <c r="D627" t="s">
        <v>23</v>
      </c>
      <c r="E627">
        <v>10</v>
      </c>
      <c r="F627" t="s">
        <v>25</v>
      </c>
      <c r="I627">
        <f>H627-G627</f>
        <v>0</v>
      </c>
      <c r="J627">
        <v>5</v>
      </c>
      <c r="K627">
        <f t="shared" si="587"/>
        <v>57.157143750000003</v>
      </c>
      <c r="L627">
        <f t="shared" si="599"/>
        <v>0</v>
      </c>
      <c r="M627" s="4"/>
      <c r="N627" s="4"/>
      <c r="O627" s="4"/>
      <c r="P627" s="4"/>
      <c r="Q627" s="4"/>
      <c r="R627" s="4"/>
    </row>
    <row r="628" spans="1:22">
      <c r="A628">
        <v>627</v>
      </c>
      <c r="B628" t="s">
        <v>32</v>
      </c>
      <c r="C628">
        <v>5</v>
      </c>
      <c r="D628" t="s">
        <v>23</v>
      </c>
      <c r="E628">
        <v>10</v>
      </c>
      <c r="F628" t="s">
        <v>26</v>
      </c>
      <c r="I628">
        <f>H628-G628</f>
        <v>0</v>
      </c>
      <c r="J628">
        <v>5</v>
      </c>
      <c r="K628">
        <f t="shared" si="587"/>
        <v>57.157143750000003</v>
      </c>
      <c r="L628">
        <f t="shared" si="599"/>
        <v>0</v>
      </c>
      <c r="S628">
        <f t="shared" ref="S628" si="638">R628-N628</f>
        <v>0</v>
      </c>
      <c r="T628" t="e">
        <f t="shared" ref="T628" si="639">((O628-S628)/O628)*100</f>
        <v>#DIV/0!</v>
      </c>
      <c r="U628" t="e">
        <f t="shared" si="590"/>
        <v>#DIV/0!</v>
      </c>
      <c r="V628" t="e">
        <f>L628*(U628/100)</f>
        <v>#DIV/0!</v>
      </c>
    </row>
    <row r="629" spans="1:22">
      <c r="A629">
        <v>628</v>
      </c>
      <c r="B629" t="s">
        <v>32</v>
      </c>
      <c r="C629">
        <v>5</v>
      </c>
      <c r="D629" t="s">
        <v>23</v>
      </c>
      <c r="E629">
        <v>10</v>
      </c>
      <c r="F629" t="s">
        <v>27</v>
      </c>
      <c r="I629">
        <f>H629-G629</f>
        <v>0</v>
      </c>
      <c r="J629">
        <v>5</v>
      </c>
      <c r="K629">
        <f t="shared" si="587"/>
        <v>57.157143750000003</v>
      </c>
      <c r="L629">
        <f t="shared" si="599"/>
        <v>0</v>
      </c>
      <c r="M629" s="4"/>
      <c r="N629" s="4"/>
      <c r="O629" s="4"/>
      <c r="P629" s="4"/>
      <c r="Q629" s="4"/>
      <c r="R629" s="4"/>
    </row>
    <row r="630" spans="1:22">
      <c r="A630">
        <v>629</v>
      </c>
      <c r="B630" t="s">
        <v>32</v>
      </c>
      <c r="C630">
        <v>5</v>
      </c>
      <c r="D630" t="s">
        <v>28</v>
      </c>
      <c r="E630">
        <v>10</v>
      </c>
      <c r="F630" t="s">
        <v>24</v>
      </c>
      <c r="I630">
        <f>H630-G630</f>
        <v>0</v>
      </c>
      <c r="J630">
        <v>5</v>
      </c>
      <c r="K630">
        <f t="shared" si="587"/>
        <v>57.157143750000003</v>
      </c>
      <c r="L630">
        <f t="shared" si="599"/>
        <v>0</v>
      </c>
      <c r="S630">
        <f t="shared" ref="S630" si="640">R630-N630</f>
        <v>0</v>
      </c>
      <c r="T630" t="e">
        <f t="shared" ref="T630" si="641">((O630-S630)/O630)*100</f>
        <v>#DIV/0!</v>
      </c>
      <c r="U630" t="e">
        <f t="shared" si="590"/>
        <v>#DIV/0!</v>
      </c>
      <c r="V630" t="e">
        <f>L630*(U630/100)</f>
        <v>#DIV/0!</v>
      </c>
    </row>
    <row r="631" spans="1:22">
      <c r="A631">
        <v>630</v>
      </c>
      <c r="B631" t="s">
        <v>32</v>
      </c>
      <c r="C631">
        <v>5</v>
      </c>
      <c r="D631" t="s">
        <v>28</v>
      </c>
      <c r="E631">
        <v>10</v>
      </c>
      <c r="F631" t="s">
        <v>25</v>
      </c>
      <c r="I631">
        <f>H631-G631</f>
        <v>0</v>
      </c>
      <c r="J631">
        <v>5</v>
      </c>
      <c r="K631">
        <f t="shared" si="587"/>
        <v>57.157143750000003</v>
      </c>
      <c r="L631">
        <f t="shared" si="599"/>
        <v>0</v>
      </c>
      <c r="M631" s="4"/>
      <c r="N631" s="4"/>
      <c r="O631" s="4"/>
      <c r="P631" s="4"/>
      <c r="Q631" s="4"/>
      <c r="R631" s="4"/>
    </row>
    <row r="632" spans="1:22">
      <c r="A632">
        <v>631</v>
      </c>
      <c r="B632" t="s">
        <v>32</v>
      </c>
      <c r="C632">
        <v>5</v>
      </c>
      <c r="D632" t="s">
        <v>28</v>
      </c>
      <c r="E632">
        <v>10</v>
      </c>
      <c r="F632" t="s">
        <v>26</v>
      </c>
      <c r="I632">
        <f>H632-G632</f>
        <v>0</v>
      </c>
      <c r="J632">
        <v>5</v>
      </c>
      <c r="K632">
        <f t="shared" si="587"/>
        <v>57.157143750000003</v>
      </c>
      <c r="L632">
        <f t="shared" si="599"/>
        <v>0</v>
      </c>
      <c r="S632">
        <f t="shared" ref="S632" si="642">R632-N632</f>
        <v>0</v>
      </c>
      <c r="T632" t="e">
        <f t="shared" ref="T632" si="643">((O632-S632)/O632)*100</f>
        <v>#DIV/0!</v>
      </c>
      <c r="U632" t="e">
        <f t="shared" si="590"/>
        <v>#DIV/0!</v>
      </c>
      <c r="V632" t="e">
        <f>L632*(U632/100)</f>
        <v>#DIV/0!</v>
      </c>
    </row>
    <row r="633" spans="1:22">
      <c r="A633">
        <v>632</v>
      </c>
      <c r="B633" t="s">
        <v>32</v>
      </c>
      <c r="C633">
        <v>5</v>
      </c>
      <c r="D633" t="s">
        <v>28</v>
      </c>
      <c r="E633">
        <v>10</v>
      </c>
      <c r="F633" t="s">
        <v>27</v>
      </c>
      <c r="I633">
        <f>H633-G633</f>
        <v>0</v>
      </c>
      <c r="J633">
        <v>5</v>
      </c>
      <c r="K633">
        <f t="shared" si="587"/>
        <v>57.157143750000003</v>
      </c>
      <c r="L633">
        <f t="shared" si="599"/>
        <v>0</v>
      </c>
      <c r="M633" s="4"/>
      <c r="N633" s="4"/>
      <c r="O633" s="4"/>
      <c r="P633" s="4"/>
      <c r="Q633" s="4"/>
      <c r="R633" s="4"/>
    </row>
    <row r="634" spans="1:22">
      <c r="A634">
        <v>633</v>
      </c>
      <c r="B634" t="s">
        <v>32</v>
      </c>
      <c r="C634">
        <v>5</v>
      </c>
      <c r="D634" t="s">
        <v>29</v>
      </c>
      <c r="E634">
        <v>10</v>
      </c>
      <c r="F634" t="s">
        <v>24</v>
      </c>
      <c r="I634">
        <f>H634-G634</f>
        <v>0</v>
      </c>
      <c r="J634">
        <v>5</v>
      </c>
      <c r="K634">
        <f t="shared" si="587"/>
        <v>57.157143750000003</v>
      </c>
      <c r="L634">
        <f t="shared" si="599"/>
        <v>0</v>
      </c>
      <c r="S634">
        <f t="shared" ref="S634" si="644">R634-N634</f>
        <v>0</v>
      </c>
      <c r="T634" t="e">
        <f t="shared" ref="T634" si="645">((O634-S634)/O634)*100</f>
        <v>#DIV/0!</v>
      </c>
      <c r="U634" t="e">
        <f t="shared" si="590"/>
        <v>#DIV/0!</v>
      </c>
      <c r="V634" t="e">
        <f>L634*(U634/100)</f>
        <v>#DIV/0!</v>
      </c>
    </row>
    <row r="635" spans="1:22">
      <c r="A635">
        <v>634</v>
      </c>
      <c r="B635" t="s">
        <v>32</v>
      </c>
      <c r="C635">
        <v>5</v>
      </c>
      <c r="D635" s="5" t="s">
        <v>29</v>
      </c>
      <c r="E635">
        <v>10</v>
      </c>
      <c r="F635" t="s">
        <v>25</v>
      </c>
      <c r="I635">
        <f>H635-G635</f>
        <v>0</v>
      </c>
      <c r="J635">
        <v>5</v>
      </c>
      <c r="K635">
        <f t="shared" si="587"/>
        <v>57.157143750000003</v>
      </c>
      <c r="L635">
        <f t="shared" si="599"/>
        <v>0</v>
      </c>
      <c r="M635" s="4"/>
      <c r="N635" s="4"/>
      <c r="O635" s="4"/>
      <c r="P635" s="4"/>
      <c r="Q635" s="4"/>
      <c r="R635" s="4"/>
    </row>
    <row r="636" spans="1:22">
      <c r="A636">
        <v>635</v>
      </c>
      <c r="B636" t="s">
        <v>32</v>
      </c>
      <c r="C636">
        <v>5</v>
      </c>
      <c r="D636" t="s">
        <v>29</v>
      </c>
      <c r="E636">
        <v>10</v>
      </c>
      <c r="F636" t="s">
        <v>26</v>
      </c>
      <c r="I636">
        <f>H636-G636</f>
        <v>0</v>
      </c>
      <c r="J636">
        <v>5</v>
      </c>
      <c r="K636">
        <f t="shared" si="587"/>
        <v>57.157143750000003</v>
      </c>
      <c r="L636">
        <f t="shared" si="599"/>
        <v>0</v>
      </c>
      <c r="S636">
        <f t="shared" ref="S636" si="646">R636-N636</f>
        <v>0</v>
      </c>
      <c r="T636" t="e">
        <f t="shared" ref="T636" si="647">((O636-S636)/O636)*100</f>
        <v>#DIV/0!</v>
      </c>
      <c r="U636" t="e">
        <f t="shared" si="590"/>
        <v>#DIV/0!</v>
      </c>
      <c r="V636" t="e">
        <f>L636*(U636/100)</f>
        <v>#DIV/0!</v>
      </c>
    </row>
    <row r="637" spans="1:22">
      <c r="A637">
        <v>636</v>
      </c>
      <c r="B637" t="s">
        <v>32</v>
      </c>
      <c r="C637">
        <v>5</v>
      </c>
      <c r="D637" s="5" t="s">
        <v>29</v>
      </c>
      <c r="E637">
        <v>10</v>
      </c>
      <c r="F637" t="s">
        <v>27</v>
      </c>
      <c r="I637">
        <f>H637-G637</f>
        <v>0</v>
      </c>
      <c r="J637">
        <v>5</v>
      </c>
      <c r="K637">
        <f t="shared" si="587"/>
        <v>57.157143750000003</v>
      </c>
      <c r="L637">
        <f t="shared" si="599"/>
        <v>0</v>
      </c>
      <c r="M637" s="4"/>
      <c r="N637" s="4"/>
      <c r="O637" s="4"/>
      <c r="P637" s="4"/>
      <c r="Q637" s="4"/>
      <c r="R637" s="4"/>
    </row>
    <row r="638" spans="1:22">
      <c r="A638">
        <v>637</v>
      </c>
      <c r="B638" t="s">
        <v>32</v>
      </c>
      <c r="C638">
        <v>5</v>
      </c>
      <c r="D638" t="s">
        <v>30</v>
      </c>
      <c r="E638">
        <v>10</v>
      </c>
      <c r="F638" t="s">
        <v>24</v>
      </c>
      <c r="I638">
        <f>H638-G638</f>
        <v>0</v>
      </c>
      <c r="J638">
        <v>5</v>
      </c>
      <c r="K638">
        <f t="shared" si="587"/>
        <v>57.157143750000003</v>
      </c>
      <c r="L638">
        <f t="shared" si="599"/>
        <v>0</v>
      </c>
      <c r="S638">
        <f t="shared" ref="S638" si="648">R638-N638</f>
        <v>0</v>
      </c>
      <c r="T638" t="e">
        <f t="shared" ref="T638" si="649">((O638-S638)/O638)*100</f>
        <v>#DIV/0!</v>
      </c>
      <c r="U638" t="e">
        <f t="shared" si="590"/>
        <v>#DIV/0!</v>
      </c>
      <c r="V638" t="e">
        <f>L638*(U638/100)</f>
        <v>#DIV/0!</v>
      </c>
    </row>
    <row r="639" spans="1:22">
      <c r="A639">
        <v>638</v>
      </c>
      <c r="B639" t="s">
        <v>32</v>
      </c>
      <c r="C639">
        <v>5</v>
      </c>
      <c r="D639" s="5" t="s">
        <v>30</v>
      </c>
      <c r="E639">
        <v>10</v>
      </c>
      <c r="F639" t="s">
        <v>25</v>
      </c>
      <c r="I639">
        <f>H639-G639</f>
        <v>0</v>
      </c>
      <c r="J639">
        <v>5</v>
      </c>
      <c r="K639">
        <f t="shared" si="587"/>
        <v>57.157143750000003</v>
      </c>
      <c r="L639">
        <f t="shared" si="599"/>
        <v>0</v>
      </c>
      <c r="M639" s="4"/>
      <c r="N639" s="4"/>
      <c r="O639" s="4"/>
      <c r="P639" s="4"/>
      <c r="Q639" s="4"/>
      <c r="R639" s="4"/>
    </row>
    <row r="640" spans="1:22">
      <c r="A640">
        <v>639</v>
      </c>
      <c r="B640" t="s">
        <v>32</v>
      </c>
      <c r="C640">
        <v>5</v>
      </c>
      <c r="D640" t="s">
        <v>30</v>
      </c>
      <c r="E640">
        <v>10</v>
      </c>
      <c r="F640" t="s">
        <v>26</v>
      </c>
      <c r="I640">
        <f>H640-G640</f>
        <v>0</v>
      </c>
      <c r="J640">
        <v>5</v>
      </c>
      <c r="K640">
        <f t="shared" si="587"/>
        <v>57.157143750000003</v>
      </c>
      <c r="L640">
        <f t="shared" si="599"/>
        <v>0</v>
      </c>
      <c r="S640">
        <f t="shared" ref="S640" si="650">R640-N640</f>
        <v>0</v>
      </c>
      <c r="T640" t="e">
        <f t="shared" ref="T640" si="651">((O640-S640)/O640)*100</f>
        <v>#DIV/0!</v>
      </c>
      <c r="U640" t="e">
        <f t="shared" si="590"/>
        <v>#DIV/0!</v>
      </c>
      <c r="V640" t="e">
        <f>L640*(U640/100)</f>
        <v>#DIV/0!</v>
      </c>
    </row>
    <row r="641" spans="1:22">
      <c r="A641">
        <v>640</v>
      </c>
      <c r="B641" t="s">
        <v>32</v>
      </c>
      <c r="C641">
        <v>5</v>
      </c>
      <c r="D641" s="5" t="s">
        <v>30</v>
      </c>
      <c r="E641">
        <v>10</v>
      </c>
      <c r="F641" t="s">
        <v>27</v>
      </c>
      <c r="I641">
        <f>H641-G641</f>
        <v>0</v>
      </c>
      <c r="J641">
        <v>5</v>
      </c>
      <c r="K641">
        <f t="shared" si="587"/>
        <v>57.157143750000003</v>
      </c>
      <c r="L641">
        <f t="shared" si="599"/>
        <v>0</v>
      </c>
      <c r="M641" s="4"/>
      <c r="N641" s="4"/>
      <c r="O641" s="4"/>
      <c r="P641" s="4"/>
      <c r="Q641" s="4"/>
      <c r="R641" s="4"/>
    </row>
    <row r="642" spans="1:22">
      <c r="A642">
        <v>641</v>
      </c>
      <c r="B642" t="s">
        <v>32</v>
      </c>
      <c r="C642">
        <v>5</v>
      </c>
      <c r="D642" t="s">
        <v>23</v>
      </c>
      <c r="E642">
        <v>11</v>
      </c>
      <c r="F642" s="5" t="s">
        <v>24</v>
      </c>
      <c r="I642">
        <f>H642-G642</f>
        <v>0</v>
      </c>
      <c r="J642">
        <v>5</v>
      </c>
      <c r="K642">
        <f t="shared" si="587"/>
        <v>57.157143750000003</v>
      </c>
      <c r="L642">
        <f t="shared" si="599"/>
        <v>0</v>
      </c>
      <c r="S642">
        <f t="shared" ref="S642" si="652">R642-N642</f>
        <v>0</v>
      </c>
      <c r="T642" t="e">
        <f t="shared" ref="T642" si="653">((O642-S642)/O642)*100</f>
        <v>#DIV/0!</v>
      </c>
      <c r="U642" t="e">
        <f t="shared" si="590"/>
        <v>#DIV/0!</v>
      </c>
      <c r="V642" t="e">
        <f>L642*(U642/100)</f>
        <v>#DIV/0!</v>
      </c>
    </row>
    <row r="643" spans="1:22">
      <c r="A643">
        <v>642</v>
      </c>
      <c r="B643" t="s">
        <v>32</v>
      </c>
      <c r="C643">
        <v>5</v>
      </c>
      <c r="D643" t="s">
        <v>23</v>
      </c>
      <c r="E643">
        <v>11</v>
      </c>
      <c r="F643" s="5" t="s">
        <v>25</v>
      </c>
      <c r="I643">
        <f>H643-G643</f>
        <v>0</v>
      </c>
      <c r="J643">
        <v>5</v>
      </c>
      <c r="K643">
        <f t="shared" ref="K643:K706" si="654">0.25*3.15*((7.62/2)^2)*J643</f>
        <v>57.157143750000003</v>
      </c>
      <c r="L643">
        <f t="shared" si="599"/>
        <v>0</v>
      </c>
      <c r="M643" s="4"/>
      <c r="N643" s="4"/>
      <c r="O643" s="4"/>
      <c r="P643" s="4"/>
      <c r="Q643" s="4"/>
      <c r="R643" s="4"/>
    </row>
    <row r="644" spans="1:22">
      <c r="A644">
        <v>643</v>
      </c>
      <c r="B644" t="s">
        <v>32</v>
      </c>
      <c r="C644">
        <v>5</v>
      </c>
      <c r="D644" t="s">
        <v>23</v>
      </c>
      <c r="E644">
        <v>11</v>
      </c>
      <c r="F644" s="5" t="s">
        <v>26</v>
      </c>
      <c r="I644">
        <f>H644-G644</f>
        <v>0</v>
      </c>
      <c r="J644">
        <v>5</v>
      </c>
      <c r="K644">
        <f t="shared" si="654"/>
        <v>57.157143750000003</v>
      </c>
      <c r="L644">
        <f t="shared" si="599"/>
        <v>0</v>
      </c>
      <c r="S644">
        <f t="shared" ref="S644" si="655">R644-N644</f>
        <v>0</v>
      </c>
      <c r="T644" t="e">
        <f t="shared" ref="T644" si="656">((O644-S644)/O644)*100</f>
        <v>#DIV/0!</v>
      </c>
      <c r="U644" t="e">
        <f t="shared" ref="U644:U706" si="657">-0.63+0.4*T644</f>
        <v>#DIV/0!</v>
      </c>
      <c r="V644" t="e">
        <f>L644*(U644/100)</f>
        <v>#DIV/0!</v>
      </c>
    </row>
    <row r="645" spans="1:22">
      <c r="A645">
        <v>644</v>
      </c>
      <c r="B645" t="s">
        <v>32</v>
      </c>
      <c r="C645">
        <v>5</v>
      </c>
      <c r="D645" t="s">
        <v>23</v>
      </c>
      <c r="E645">
        <v>11</v>
      </c>
      <c r="F645" s="5" t="s">
        <v>27</v>
      </c>
      <c r="I645">
        <f>H645-G645</f>
        <v>0</v>
      </c>
      <c r="J645">
        <v>5</v>
      </c>
      <c r="K645">
        <f t="shared" si="654"/>
        <v>57.157143750000003</v>
      </c>
      <c r="L645">
        <f t="shared" si="599"/>
        <v>0</v>
      </c>
      <c r="M645" s="4"/>
      <c r="N645" s="4"/>
      <c r="O645" s="4"/>
      <c r="P645" s="4"/>
      <c r="Q645" s="4"/>
      <c r="R645" s="4"/>
    </row>
    <row r="646" spans="1:22">
      <c r="A646">
        <v>645</v>
      </c>
      <c r="B646" t="s">
        <v>32</v>
      </c>
      <c r="C646">
        <v>5</v>
      </c>
      <c r="D646" t="s">
        <v>28</v>
      </c>
      <c r="E646">
        <v>11</v>
      </c>
      <c r="F646" s="5" t="s">
        <v>24</v>
      </c>
      <c r="I646">
        <f>H646-G646</f>
        <v>0</v>
      </c>
      <c r="J646">
        <v>5</v>
      </c>
      <c r="K646">
        <f t="shared" si="654"/>
        <v>57.157143750000003</v>
      </c>
      <c r="L646">
        <f t="shared" si="599"/>
        <v>0</v>
      </c>
      <c r="S646">
        <f t="shared" ref="S646" si="658">R646-N646</f>
        <v>0</v>
      </c>
      <c r="T646" t="e">
        <f t="shared" ref="T646" si="659">((O646-S646)/O646)*100</f>
        <v>#DIV/0!</v>
      </c>
      <c r="U646" t="e">
        <f t="shared" si="657"/>
        <v>#DIV/0!</v>
      </c>
      <c r="V646" t="e">
        <f>L646*(U646/100)</f>
        <v>#DIV/0!</v>
      </c>
    </row>
    <row r="647" spans="1:22">
      <c r="A647">
        <v>646</v>
      </c>
      <c r="B647" t="s">
        <v>32</v>
      </c>
      <c r="C647">
        <v>5</v>
      </c>
      <c r="D647" t="s">
        <v>28</v>
      </c>
      <c r="E647">
        <v>11</v>
      </c>
      <c r="F647" s="5" t="s">
        <v>25</v>
      </c>
      <c r="I647">
        <f>H647-G647</f>
        <v>0</v>
      </c>
      <c r="J647">
        <v>5</v>
      </c>
      <c r="K647">
        <f t="shared" si="654"/>
        <v>57.157143750000003</v>
      </c>
      <c r="L647">
        <f t="shared" si="599"/>
        <v>0</v>
      </c>
      <c r="M647" s="4"/>
      <c r="N647" s="4"/>
      <c r="O647" s="4"/>
      <c r="P647" s="4"/>
      <c r="Q647" s="4"/>
      <c r="R647" s="4"/>
    </row>
    <row r="648" spans="1:22">
      <c r="A648">
        <v>647</v>
      </c>
      <c r="B648" t="s">
        <v>32</v>
      </c>
      <c r="C648">
        <v>5</v>
      </c>
      <c r="D648" t="s">
        <v>28</v>
      </c>
      <c r="E648">
        <v>11</v>
      </c>
      <c r="F648" s="5" t="s">
        <v>26</v>
      </c>
      <c r="I648">
        <f>H648-G648</f>
        <v>0</v>
      </c>
      <c r="J648">
        <v>5</v>
      </c>
      <c r="K648">
        <f t="shared" si="654"/>
        <v>57.157143750000003</v>
      </c>
      <c r="L648">
        <f t="shared" si="599"/>
        <v>0</v>
      </c>
      <c r="S648">
        <f t="shared" ref="S648" si="660">R648-N648</f>
        <v>0</v>
      </c>
      <c r="T648" t="e">
        <f t="shared" ref="T648" si="661">((O648-S648)/O648)*100</f>
        <v>#DIV/0!</v>
      </c>
      <c r="U648" t="e">
        <f t="shared" si="657"/>
        <v>#DIV/0!</v>
      </c>
      <c r="V648" t="e">
        <f>L648*(U648/100)</f>
        <v>#DIV/0!</v>
      </c>
    </row>
    <row r="649" spans="1:22">
      <c r="A649">
        <v>648</v>
      </c>
      <c r="B649" t="s">
        <v>32</v>
      </c>
      <c r="C649">
        <v>5</v>
      </c>
      <c r="D649" t="s">
        <v>28</v>
      </c>
      <c r="E649">
        <v>11</v>
      </c>
      <c r="F649" s="5" t="s">
        <v>27</v>
      </c>
      <c r="I649">
        <f>H649-G649</f>
        <v>0</v>
      </c>
      <c r="J649">
        <v>5</v>
      </c>
      <c r="K649">
        <f t="shared" si="654"/>
        <v>57.157143750000003</v>
      </c>
      <c r="L649">
        <f t="shared" si="599"/>
        <v>0</v>
      </c>
      <c r="M649" s="4"/>
      <c r="N649" s="4"/>
      <c r="O649" s="4"/>
      <c r="P649" s="4"/>
      <c r="Q649" s="4"/>
      <c r="R649" s="4"/>
    </row>
    <row r="650" spans="1:22">
      <c r="A650">
        <v>649</v>
      </c>
      <c r="B650" t="s">
        <v>32</v>
      </c>
      <c r="C650">
        <v>5</v>
      </c>
      <c r="D650" t="s">
        <v>29</v>
      </c>
      <c r="E650">
        <v>11</v>
      </c>
      <c r="F650" s="5" t="s">
        <v>24</v>
      </c>
      <c r="I650">
        <f>H650-G650</f>
        <v>0</v>
      </c>
      <c r="J650">
        <v>5</v>
      </c>
      <c r="K650">
        <f t="shared" si="654"/>
        <v>57.157143750000003</v>
      </c>
      <c r="L650">
        <f t="shared" si="599"/>
        <v>0</v>
      </c>
      <c r="S650">
        <f t="shared" ref="S650" si="662">R650-N650</f>
        <v>0</v>
      </c>
      <c r="T650" t="e">
        <f t="shared" ref="T650" si="663">((O650-S650)/O650)*100</f>
        <v>#DIV/0!</v>
      </c>
      <c r="U650" t="e">
        <f t="shared" si="657"/>
        <v>#DIV/0!</v>
      </c>
      <c r="V650" t="e">
        <f>L650*(U650/100)</f>
        <v>#DIV/0!</v>
      </c>
    </row>
    <row r="651" spans="1:22">
      <c r="A651">
        <v>650</v>
      </c>
      <c r="B651" t="s">
        <v>32</v>
      </c>
      <c r="C651">
        <v>5</v>
      </c>
      <c r="D651" s="5" t="s">
        <v>29</v>
      </c>
      <c r="E651">
        <v>11</v>
      </c>
      <c r="F651" s="5" t="s">
        <v>25</v>
      </c>
      <c r="I651">
        <f>H651-G651</f>
        <v>0</v>
      </c>
      <c r="J651">
        <v>5</v>
      </c>
      <c r="K651">
        <f t="shared" si="654"/>
        <v>57.157143750000003</v>
      </c>
      <c r="L651">
        <f t="shared" si="599"/>
        <v>0</v>
      </c>
      <c r="M651" s="4"/>
      <c r="N651" s="4"/>
      <c r="O651" s="4"/>
      <c r="P651" s="4"/>
      <c r="Q651" s="4"/>
      <c r="R651" s="4"/>
    </row>
    <row r="652" spans="1:22">
      <c r="A652">
        <v>651</v>
      </c>
      <c r="B652" t="s">
        <v>32</v>
      </c>
      <c r="C652">
        <v>5</v>
      </c>
      <c r="D652" t="s">
        <v>29</v>
      </c>
      <c r="E652">
        <v>11</v>
      </c>
      <c r="F652" s="5" t="s">
        <v>26</v>
      </c>
      <c r="I652">
        <f>H652-G652</f>
        <v>0</v>
      </c>
      <c r="J652">
        <v>5</v>
      </c>
      <c r="K652">
        <f t="shared" si="654"/>
        <v>57.157143750000003</v>
      </c>
      <c r="L652">
        <f t="shared" si="599"/>
        <v>0</v>
      </c>
      <c r="S652">
        <f t="shared" ref="S652" si="664">R652-N652</f>
        <v>0</v>
      </c>
      <c r="T652" t="e">
        <f t="shared" ref="T652" si="665">((O652-S652)/O652)*100</f>
        <v>#DIV/0!</v>
      </c>
      <c r="U652" t="e">
        <f t="shared" si="657"/>
        <v>#DIV/0!</v>
      </c>
      <c r="V652" t="e">
        <f>L652*(U652/100)</f>
        <v>#DIV/0!</v>
      </c>
    </row>
    <row r="653" spans="1:22">
      <c r="A653">
        <v>652</v>
      </c>
      <c r="B653" t="s">
        <v>32</v>
      </c>
      <c r="C653">
        <v>5</v>
      </c>
      <c r="D653" s="5" t="s">
        <v>29</v>
      </c>
      <c r="E653">
        <v>11</v>
      </c>
      <c r="F653" s="5" t="s">
        <v>27</v>
      </c>
      <c r="I653">
        <f>H653-G653</f>
        <v>0</v>
      </c>
      <c r="J653">
        <v>5</v>
      </c>
      <c r="K653">
        <f t="shared" si="654"/>
        <v>57.157143750000003</v>
      </c>
      <c r="L653">
        <f t="shared" si="599"/>
        <v>0</v>
      </c>
      <c r="M653" s="4"/>
      <c r="N653" s="4"/>
      <c r="O653" s="4"/>
      <c r="P653" s="4"/>
      <c r="Q653" s="4"/>
      <c r="R653" s="4"/>
    </row>
    <row r="654" spans="1:22">
      <c r="A654">
        <v>653</v>
      </c>
      <c r="B654" t="s">
        <v>32</v>
      </c>
      <c r="C654">
        <v>5</v>
      </c>
      <c r="D654" t="s">
        <v>30</v>
      </c>
      <c r="E654">
        <v>11</v>
      </c>
      <c r="F654" s="5" t="s">
        <v>24</v>
      </c>
      <c r="I654">
        <f>H654-G654</f>
        <v>0</v>
      </c>
      <c r="J654">
        <v>5</v>
      </c>
      <c r="K654">
        <f t="shared" si="654"/>
        <v>57.157143750000003</v>
      </c>
      <c r="L654">
        <f t="shared" ref="L654:L717" si="666">I654/K654</f>
        <v>0</v>
      </c>
      <c r="S654">
        <f t="shared" ref="S654" si="667">R654-N654</f>
        <v>0</v>
      </c>
      <c r="T654" t="e">
        <f t="shared" ref="T654" si="668">((O654-S654)/O654)*100</f>
        <v>#DIV/0!</v>
      </c>
      <c r="U654" t="e">
        <f t="shared" si="657"/>
        <v>#DIV/0!</v>
      </c>
      <c r="V654" t="e">
        <f>L654*(U654/100)</f>
        <v>#DIV/0!</v>
      </c>
    </row>
    <row r="655" spans="1:22">
      <c r="A655">
        <v>654</v>
      </c>
      <c r="B655" t="s">
        <v>32</v>
      </c>
      <c r="C655">
        <v>5</v>
      </c>
      <c r="D655" s="5" t="s">
        <v>30</v>
      </c>
      <c r="E655">
        <v>11</v>
      </c>
      <c r="F655" s="5" t="s">
        <v>25</v>
      </c>
      <c r="I655">
        <f>H655-G655</f>
        <v>0</v>
      </c>
      <c r="J655">
        <v>5</v>
      </c>
      <c r="K655">
        <f t="shared" si="654"/>
        <v>57.157143750000003</v>
      </c>
      <c r="L655">
        <f t="shared" si="666"/>
        <v>0</v>
      </c>
      <c r="M655" s="4"/>
      <c r="N655" s="4"/>
      <c r="O655" s="4"/>
      <c r="P655" s="4"/>
      <c r="Q655" s="4"/>
      <c r="R655" s="4"/>
    </row>
    <row r="656" spans="1:22">
      <c r="A656">
        <v>655</v>
      </c>
      <c r="B656" t="s">
        <v>32</v>
      </c>
      <c r="C656">
        <v>5</v>
      </c>
      <c r="D656" t="s">
        <v>30</v>
      </c>
      <c r="E656">
        <v>11</v>
      </c>
      <c r="F656" s="5" t="s">
        <v>26</v>
      </c>
      <c r="I656">
        <f>H656-G656</f>
        <v>0</v>
      </c>
      <c r="J656">
        <v>5</v>
      </c>
      <c r="K656">
        <f t="shared" si="654"/>
        <v>57.157143750000003</v>
      </c>
      <c r="L656">
        <f t="shared" si="666"/>
        <v>0</v>
      </c>
      <c r="S656">
        <f t="shared" ref="S656" si="669">R656-N656</f>
        <v>0</v>
      </c>
      <c r="T656" t="e">
        <f t="shared" ref="T656" si="670">((O656-S656)/O656)*100</f>
        <v>#DIV/0!</v>
      </c>
      <c r="U656" t="e">
        <f t="shared" si="657"/>
        <v>#DIV/0!</v>
      </c>
      <c r="V656" t="e">
        <f>L656*(U656/100)</f>
        <v>#DIV/0!</v>
      </c>
    </row>
    <row r="657" spans="1:22">
      <c r="A657">
        <v>656</v>
      </c>
      <c r="B657" t="s">
        <v>32</v>
      </c>
      <c r="C657">
        <v>5</v>
      </c>
      <c r="D657" s="5" t="s">
        <v>30</v>
      </c>
      <c r="E657">
        <v>11</v>
      </c>
      <c r="F657" s="5" t="s">
        <v>27</v>
      </c>
      <c r="I657">
        <f>H657-G657</f>
        <v>0</v>
      </c>
      <c r="J657">
        <v>5</v>
      </c>
      <c r="K657">
        <f t="shared" si="654"/>
        <v>57.157143750000003</v>
      </c>
      <c r="L657">
        <f t="shared" si="666"/>
        <v>0</v>
      </c>
      <c r="M657" s="4"/>
      <c r="N657" s="4"/>
      <c r="O657" s="4"/>
      <c r="P657" s="4"/>
      <c r="Q657" s="4"/>
      <c r="R657" s="4"/>
    </row>
    <row r="658" spans="1:22">
      <c r="A658">
        <v>657</v>
      </c>
      <c r="B658" t="s">
        <v>32</v>
      </c>
      <c r="C658">
        <v>5</v>
      </c>
      <c r="D658" t="s">
        <v>23</v>
      </c>
      <c r="E658">
        <v>12</v>
      </c>
      <c r="F658" s="5" t="s">
        <v>24</v>
      </c>
      <c r="I658">
        <f>H658-G658</f>
        <v>0</v>
      </c>
      <c r="J658">
        <v>5</v>
      </c>
      <c r="K658">
        <f t="shared" si="654"/>
        <v>57.157143750000003</v>
      </c>
      <c r="L658">
        <f t="shared" si="666"/>
        <v>0</v>
      </c>
      <c r="S658">
        <f t="shared" ref="S658" si="671">R658-N658</f>
        <v>0</v>
      </c>
      <c r="T658" t="e">
        <f t="shared" ref="T658" si="672">((O658-S658)/O658)*100</f>
        <v>#DIV/0!</v>
      </c>
      <c r="U658" t="e">
        <f t="shared" si="657"/>
        <v>#DIV/0!</v>
      </c>
      <c r="V658" t="e">
        <f>L658*(U658/100)</f>
        <v>#DIV/0!</v>
      </c>
    </row>
    <row r="659" spans="1:22">
      <c r="A659">
        <v>658</v>
      </c>
      <c r="B659" t="s">
        <v>32</v>
      </c>
      <c r="C659">
        <v>5</v>
      </c>
      <c r="D659" t="s">
        <v>23</v>
      </c>
      <c r="E659">
        <v>12</v>
      </c>
      <c r="F659" s="5" t="s">
        <v>25</v>
      </c>
      <c r="I659">
        <f>H659-G659</f>
        <v>0</v>
      </c>
      <c r="J659">
        <v>5</v>
      </c>
      <c r="K659">
        <f t="shared" si="654"/>
        <v>57.157143750000003</v>
      </c>
      <c r="L659">
        <f t="shared" si="666"/>
        <v>0</v>
      </c>
      <c r="M659" s="4"/>
      <c r="N659" s="4"/>
      <c r="O659" s="4"/>
      <c r="P659" s="4"/>
      <c r="Q659" s="4"/>
      <c r="R659" s="4"/>
    </row>
    <row r="660" spans="1:22">
      <c r="A660">
        <v>659</v>
      </c>
      <c r="B660" t="s">
        <v>32</v>
      </c>
      <c r="C660">
        <v>5</v>
      </c>
      <c r="D660" t="s">
        <v>23</v>
      </c>
      <c r="E660">
        <v>12</v>
      </c>
      <c r="F660" s="5" t="s">
        <v>26</v>
      </c>
      <c r="I660">
        <f>H660-G660</f>
        <v>0</v>
      </c>
      <c r="J660">
        <v>5</v>
      </c>
      <c r="K660">
        <f t="shared" si="654"/>
        <v>57.157143750000003</v>
      </c>
      <c r="L660">
        <f t="shared" si="666"/>
        <v>0</v>
      </c>
      <c r="S660">
        <f t="shared" ref="S660" si="673">R660-N660</f>
        <v>0</v>
      </c>
      <c r="T660" t="e">
        <f t="shared" ref="T660" si="674">((O660-S660)/O660)*100</f>
        <v>#DIV/0!</v>
      </c>
      <c r="U660" t="e">
        <f t="shared" si="657"/>
        <v>#DIV/0!</v>
      </c>
      <c r="V660" t="e">
        <f>L660*(U660/100)</f>
        <v>#DIV/0!</v>
      </c>
    </row>
    <row r="661" spans="1:22">
      <c r="A661">
        <v>660</v>
      </c>
      <c r="B661" t="s">
        <v>32</v>
      </c>
      <c r="C661">
        <v>5</v>
      </c>
      <c r="D661" t="s">
        <v>23</v>
      </c>
      <c r="E661">
        <v>12</v>
      </c>
      <c r="F661" s="5" t="s">
        <v>27</v>
      </c>
      <c r="I661">
        <f>H661-G661</f>
        <v>0</v>
      </c>
      <c r="J661">
        <v>5</v>
      </c>
      <c r="K661">
        <f t="shared" si="654"/>
        <v>57.157143750000003</v>
      </c>
      <c r="L661">
        <f t="shared" si="666"/>
        <v>0</v>
      </c>
      <c r="M661" s="4"/>
      <c r="N661" s="4"/>
      <c r="O661" s="4"/>
      <c r="P661" s="4"/>
      <c r="Q661" s="4"/>
      <c r="R661" s="4"/>
    </row>
    <row r="662" spans="1:22">
      <c r="A662">
        <v>661</v>
      </c>
      <c r="B662" t="s">
        <v>32</v>
      </c>
      <c r="C662">
        <v>5</v>
      </c>
      <c r="D662" t="s">
        <v>28</v>
      </c>
      <c r="E662">
        <v>12</v>
      </c>
      <c r="F662" s="5" t="s">
        <v>24</v>
      </c>
      <c r="I662">
        <f>H662-G662</f>
        <v>0</v>
      </c>
      <c r="J662">
        <v>5</v>
      </c>
      <c r="K662">
        <f t="shared" si="654"/>
        <v>57.157143750000003</v>
      </c>
      <c r="L662">
        <f t="shared" si="666"/>
        <v>0</v>
      </c>
      <c r="S662">
        <f t="shared" ref="S662" si="675">R662-N662</f>
        <v>0</v>
      </c>
      <c r="T662" t="e">
        <f t="shared" ref="T662" si="676">((O662-S662)/O662)*100</f>
        <v>#DIV/0!</v>
      </c>
      <c r="U662" t="e">
        <f t="shared" si="657"/>
        <v>#DIV/0!</v>
      </c>
      <c r="V662" t="e">
        <f>L662*(U662/100)</f>
        <v>#DIV/0!</v>
      </c>
    </row>
    <row r="663" spans="1:22">
      <c r="A663">
        <v>662</v>
      </c>
      <c r="B663" t="s">
        <v>32</v>
      </c>
      <c r="C663">
        <v>5</v>
      </c>
      <c r="D663" t="s">
        <v>28</v>
      </c>
      <c r="E663">
        <v>12</v>
      </c>
      <c r="F663" s="5" t="s">
        <v>25</v>
      </c>
      <c r="I663">
        <f>H663-G663</f>
        <v>0</v>
      </c>
      <c r="J663">
        <v>5</v>
      </c>
      <c r="K663">
        <f t="shared" si="654"/>
        <v>57.157143750000003</v>
      </c>
      <c r="L663">
        <f t="shared" si="666"/>
        <v>0</v>
      </c>
      <c r="M663" s="4"/>
      <c r="N663" s="4"/>
      <c r="O663" s="4"/>
      <c r="P663" s="4"/>
      <c r="Q663" s="4"/>
      <c r="R663" s="4"/>
    </row>
    <row r="664" spans="1:22">
      <c r="A664">
        <v>663</v>
      </c>
      <c r="B664" t="s">
        <v>32</v>
      </c>
      <c r="C664">
        <v>5</v>
      </c>
      <c r="D664" t="s">
        <v>28</v>
      </c>
      <c r="E664">
        <v>12</v>
      </c>
      <c r="F664" s="5" t="s">
        <v>26</v>
      </c>
      <c r="I664">
        <f>H664-G664</f>
        <v>0</v>
      </c>
      <c r="J664">
        <v>5</v>
      </c>
      <c r="K664">
        <f t="shared" si="654"/>
        <v>57.157143750000003</v>
      </c>
      <c r="L664">
        <f t="shared" si="666"/>
        <v>0</v>
      </c>
      <c r="S664">
        <f t="shared" ref="S664" si="677">R664-N664</f>
        <v>0</v>
      </c>
      <c r="T664" t="e">
        <f t="shared" ref="T664" si="678">((O664-S664)/O664)*100</f>
        <v>#DIV/0!</v>
      </c>
      <c r="U664" t="e">
        <f t="shared" si="657"/>
        <v>#DIV/0!</v>
      </c>
      <c r="V664" t="e">
        <f>L664*(U664/100)</f>
        <v>#DIV/0!</v>
      </c>
    </row>
    <row r="665" spans="1:22">
      <c r="A665">
        <v>664</v>
      </c>
      <c r="B665" t="s">
        <v>32</v>
      </c>
      <c r="C665">
        <v>5</v>
      </c>
      <c r="D665" t="s">
        <v>28</v>
      </c>
      <c r="E665">
        <v>12</v>
      </c>
      <c r="F665" s="5" t="s">
        <v>27</v>
      </c>
      <c r="I665">
        <f>H665-G665</f>
        <v>0</v>
      </c>
      <c r="J665">
        <v>5</v>
      </c>
      <c r="K665">
        <f t="shared" si="654"/>
        <v>57.157143750000003</v>
      </c>
      <c r="L665">
        <f t="shared" si="666"/>
        <v>0</v>
      </c>
      <c r="M665" s="4"/>
      <c r="N665" s="4"/>
      <c r="O665" s="4"/>
      <c r="P665" s="4"/>
      <c r="Q665" s="4"/>
      <c r="R665" s="4"/>
    </row>
    <row r="666" spans="1:22">
      <c r="A666">
        <v>665</v>
      </c>
      <c r="B666" t="s">
        <v>32</v>
      </c>
      <c r="C666">
        <v>5</v>
      </c>
      <c r="D666" t="s">
        <v>29</v>
      </c>
      <c r="E666">
        <v>12</v>
      </c>
      <c r="F666" s="5" t="s">
        <v>24</v>
      </c>
      <c r="I666">
        <f>H666-G666</f>
        <v>0</v>
      </c>
      <c r="J666">
        <v>5</v>
      </c>
      <c r="K666">
        <f t="shared" si="654"/>
        <v>57.157143750000003</v>
      </c>
      <c r="L666">
        <f t="shared" si="666"/>
        <v>0</v>
      </c>
      <c r="S666">
        <f t="shared" ref="S666" si="679">R666-N666</f>
        <v>0</v>
      </c>
      <c r="T666" t="e">
        <f t="shared" ref="T666" si="680">((O666-S666)/O666)*100</f>
        <v>#DIV/0!</v>
      </c>
      <c r="U666" t="e">
        <f t="shared" si="657"/>
        <v>#DIV/0!</v>
      </c>
      <c r="V666" t="e">
        <f>L666*(U666/100)</f>
        <v>#DIV/0!</v>
      </c>
    </row>
    <row r="667" spans="1:22">
      <c r="A667">
        <v>666</v>
      </c>
      <c r="B667" t="s">
        <v>32</v>
      </c>
      <c r="C667">
        <v>5</v>
      </c>
      <c r="D667" s="5" t="s">
        <v>29</v>
      </c>
      <c r="E667">
        <v>12</v>
      </c>
      <c r="F667" s="5" t="s">
        <v>25</v>
      </c>
      <c r="I667">
        <f>H667-G667</f>
        <v>0</v>
      </c>
      <c r="J667">
        <v>5</v>
      </c>
      <c r="K667">
        <f t="shared" si="654"/>
        <v>57.157143750000003</v>
      </c>
      <c r="L667">
        <f t="shared" si="666"/>
        <v>0</v>
      </c>
      <c r="M667" s="4"/>
      <c r="N667" s="4"/>
      <c r="O667" s="4"/>
      <c r="P667" s="4"/>
      <c r="Q667" s="4"/>
      <c r="R667" s="4"/>
    </row>
    <row r="668" spans="1:22">
      <c r="A668">
        <v>667</v>
      </c>
      <c r="B668" t="s">
        <v>32</v>
      </c>
      <c r="C668">
        <v>5</v>
      </c>
      <c r="D668" t="s">
        <v>29</v>
      </c>
      <c r="E668">
        <v>12</v>
      </c>
      <c r="F668" s="5" t="s">
        <v>26</v>
      </c>
      <c r="I668">
        <f>H668-G668</f>
        <v>0</v>
      </c>
      <c r="J668">
        <v>5</v>
      </c>
      <c r="K668">
        <f t="shared" si="654"/>
        <v>57.157143750000003</v>
      </c>
      <c r="L668">
        <f t="shared" si="666"/>
        <v>0</v>
      </c>
      <c r="S668">
        <f t="shared" ref="S668" si="681">R668-N668</f>
        <v>0</v>
      </c>
      <c r="T668" t="e">
        <f t="shared" ref="T668" si="682">((O668-S668)/O668)*100</f>
        <v>#DIV/0!</v>
      </c>
      <c r="U668" t="e">
        <f t="shared" si="657"/>
        <v>#DIV/0!</v>
      </c>
      <c r="V668" t="e">
        <f>L668*(U668/100)</f>
        <v>#DIV/0!</v>
      </c>
    </row>
    <row r="669" spans="1:22">
      <c r="A669">
        <v>668</v>
      </c>
      <c r="B669" t="s">
        <v>32</v>
      </c>
      <c r="C669">
        <v>5</v>
      </c>
      <c r="D669" s="5" t="s">
        <v>29</v>
      </c>
      <c r="E669">
        <v>12</v>
      </c>
      <c r="F669" s="5" t="s">
        <v>27</v>
      </c>
      <c r="I669">
        <f>H669-G669</f>
        <v>0</v>
      </c>
      <c r="J669">
        <v>5</v>
      </c>
      <c r="K669">
        <f t="shared" si="654"/>
        <v>57.157143750000003</v>
      </c>
      <c r="L669">
        <f t="shared" si="666"/>
        <v>0</v>
      </c>
      <c r="M669" s="4"/>
      <c r="N669" s="4"/>
      <c r="O669" s="4"/>
      <c r="P669" s="4"/>
      <c r="Q669" s="4"/>
      <c r="R669" s="4"/>
    </row>
    <row r="670" spans="1:22">
      <c r="A670">
        <v>669</v>
      </c>
      <c r="B670" t="s">
        <v>32</v>
      </c>
      <c r="C670">
        <v>5</v>
      </c>
      <c r="D670" t="s">
        <v>30</v>
      </c>
      <c r="E670">
        <v>12</v>
      </c>
      <c r="F670" s="5" t="s">
        <v>24</v>
      </c>
      <c r="I670">
        <f>H670-G670</f>
        <v>0</v>
      </c>
      <c r="J670">
        <v>5</v>
      </c>
      <c r="K670">
        <f t="shared" si="654"/>
        <v>57.157143750000003</v>
      </c>
      <c r="L670">
        <f t="shared" si="666"/>
        <v>0</v>
      </c>
      <c r="S670">
        <f t="shared" ref="S670" si="683">R670-N670</f>
        <v>0</v>
      </c>
      <c r="T670" t="e">
        <f t="shared" ref="T670" si="684">((O670-S670)/O670)*100</f>
        <v>#DIV/0!</v>
      </c>
      <c r="U670" t="e">
        <f t="shared" si="657"/>
        <v>#DIV/0!</v>
      </c>
      <c r="V670" t="e">
        <f>L670*(U670/100)</f>
        <v>#DIV/0!</v>
      </c>
    </row>
    <row r="671" spans="1:22">
      <c r="A671">
        <v>670</v>
      </c>
      <c r="B671" t="s">
        <v>32</v>
      </c>
      <c r="C671">
        <v>5</v>
      </c>
      <c r="D671" s="5" t="s">
        <v>30</v>
      </c>
      <c r="E671">
        <v>12</v>
      </c>
      <c r="F671" s="5" t="s">
        <v>25</v>
      </c>
      <c r="I671">
        <f>H671-G671</f>
        <v>0</v>
      </c>
      <c r="J671">
        <v>5</v>
      </c>
      <c r="K671">
        <f t="shared" si="654"/>
        <v>57.157143750000003</v>
      </c>
      <c r="L671">
        <f t="shared" si="666"/>
        <v>0</v>
      </c>
      <c r="M671" s="4"/>
      <c r="N671" s="4"/>
      <c r="O671" s="4"/>
      <c r="P671" s="4"/>
      <c r="Q671" s="4"/>
      <c r="R671" s="4"/>
    </row>
    <row r="672" spans="1:22">
      <c r="A672">
        <v>671</v>
      </c>
      <c r="B672" t="s">
        <v>32</v>
      </c>
      <c r="C672">
        <v>5</v>
      </c>
      <c r="D672" t="s">
        <v>30</v>
      </c>
      <c r="E672">
        <v>12</v>
      </c>
      <c r="F672" s="5" t="s">
        <v>26</v>
      </c>
      <c r="I672">
        <f>H672-G672</f>
        <v>0</v>
      </c>
      <c r="J672">
        <v>5</v>
      </c>
      <c r="K672">
        <f t="shared" si="654"/>
        <v>57.157143750000003</v>
      </c>
      <c r="L672">
        <f t="shared" si="666"/>
        <v>0</v>
      </c>
      <c r="S672">
        <f t="shared" ref="S672" si="685">R672-N672</f>
        <v>0</v>
      </c>
      <c r="T672" t="e">
        <f t="shared" ref="T672" si="686">((O672-S672)/O672)*100</f>
        <v>#DIV/0!</v>
      </c>
      <c r="U672" t="e">
        <f t="shared" si="657"/>
        <v>#DIV/0!</v>
      </c>
      <c r="V672" t="e">
        <f>L672*(U672/100)</f>
        <v>#DIV/0!</v>
      </c>
    </row>
    <row r="673" spans="1:22">
      <c r="A673">
        <v>672</v>
      </c>
      <c r="B673" t="s">
        <v>32</v>
      </c>
      <c r="C673">
        <v>5</v>
      </c>
      <c r="D673" s="5" t="s">
        <v>30</v>
      </c>
      <c r="E673">
        <v>12</v>
      </c>
      <c r="F673" s="5" t="s">
        <v>27</v>
      </c>
      <c r="I673">
        <f>H673-G673</f>
        <v>0</v>
      </c>
      <c r="J673">
        <v>5</v>
      </c>
      <c r="K673">
        <f t="shared" si="654"/>
        <v>57.157143750000003</v>
      </c>
      <c r="L673">
        <f t="shared" si="666"/>
        <v>0</v>
      </c>
      <c r="M673" s="4"/>
      <c r="N673" s="4"/>
      <c r="O673" s="4"/>
      <c r="P673" s="4"/>
      <c r="Q673" s="4"/>
      <c r="R673" s="4"/>
    </row>
    <row r="674" spans="1:22">
      <c r="A674">
        <v>673</v>
      </c>
      <c r="B674" s="5" t="s">
        <v>33</v>
      </c>
      <c r="C674">
        <v>5</v>
      </c>
      <c r="D674" t="s">
        <v>23</v>
      </c>
      <c r="E674">
        <v>10</v>
      </c>
      <c r="F674" t="s">
        <v>24</v>
      </c>
      <c r="I674">
        <f>H674-G674</f>
        <v>0</v>
      </c>
      <c r="J674">
        <v>5</v>
      </c>
      <c r="K674">
        <f t="shared" si="654"/>
        <v>57.157143750000003</v>
      </c>
      <c r="L674">
        <f t="shared" si="666"/>
        <v>0</v>
      </c>
      <c r="S674">
        <f t="shared" ref="S674" si="687">R674-N674</f>
        <v>0</v>
      </c>
      <c r="T674" t="e">
        <f t="shared" ref="T674" si="688">((O674-S674)/O674)*100</f>
        <v>#DIV/0!</v>
      </c>
      <c r="U674" t="e">
        <f t="shared" si="657"/>
        <v>#DIV/0!</v>
      </c>
      <c r="V674" t="e">
        <f>L674*(U674/100)</f>
        <v>#DIV/0!</v>
      </c>
    </row>
    <row r="675" spans="1:22">
      <c r="A675">
        <v>674</v>
      </c>
      <c r="B675" s="5" t="s">
        <v>33</v>
      </c>
      <c r="C675">
        <v>5</v>
      </c>
      <c r="D675" t="s">
        <v>23</v>
      </c>
      <c r="E675">
        <v>10</v>
      </c>
      <c r="F675" t="s">
        <v>25</v>
      </c>
      <c r="I675">
        <f>H675-G675</f>
        <v>0</v>
      </c>
      <c r="J675">
        <v>5</v>
      </c>
      <c r="K675">
        <f t="shared" si="654"/>
        <v>57.157143750000003</v>
      </c>
      <c r="L675">
        <f t="shared" si="666"/>
        <v>0</v>
      </c>
      <c r="M675" s="4"/>
      <c r="N675" s="4"/>
      <c r="O675" s="4"/>
      <c r="P675" s="4"/>
      <c r="Q675" s="4"/>
      <c r="R675" s="4"/>
    </row>
    <row r="676" spans="1:22">
      <c r="A676">
        <v>675</v>
      </c>
      <c r="B676" s="5" t="s">
        <v>33</v>
      </c>
      <c r="C676">
        <v>5</v>
      </c>
      <c r="D676" t="s">
        <v>23</v>
      </c>
      <c r="E676">
        <v>10</v>
      </c>
      <c r="F676" t="s">
        <v>26</v>
      </c>
      <c r="I676">
        <f>H676-G676</f>
        <v>0</v>
      </c>
      <c r="J676">
        <v>5</v>
      </c>
      <c r="K676">
        <f t="shared" si="654"/>
        <v>57.157143750000003</v>
      </c>
      <c r="L676">
        <f t="shared" si="666"/>
        <v>0</v>
      </c>
      <c r="S676">
        <f t="shared" ref="S676" si="689">R676-N676</f>
        <v>0</v>
      </c>
      <c r="T676" t="e">
        <f t="shared" ref="T676" si="690">((O676-S676)/O676)*100</f>
        <v>#DIV/0!</v>
      </c>
      <c r="U676" t="e">
        <f t="shared" si="657"/>
        <v>#DIV/0!</v>
      </c>
      <c r="V676" t="e">
        <f>L676*(U676/100)</f>
        <v>#DIV/0!</v>
      </c>
    </row>
    <row r="677" spans="1:22">
      <c r="A677">
        <v>676</v>
      </c>
      <c r="B677" s="5" t="s">
        <v>33</v>
      </c>
      <c r="C677">
        <v>5</v>
      </c>
      <c r="D677" t="s">
        <v>23</v>
      </c>
      <c r="E677">
        <v>10</v>
      </c>
      <c r="F677" t="s">
        <v>27</v>
      </c>
      <c r="I677">
        <f>H677-G677</f>
        <v>0</v>
      </c>
      <c r="J677">
        <v>5</v>
      </c>
      <c r="K677">
        <f t="shared" si="654"/>
        <v>57.157143750000003</v>
      </c>
      <c r="L677">
        <f t="shared" si="666"/>
        <v>0</v>
      </c>
      <c r="M677" s="4"/>
      <c r="N677" s="4"/>
      <c r="O677" s="4"/>
      <c r="P677" s="4"/>
      <c r="Q677" s="4"/>
      <c r="R677" s="4"/>
    </row>
    <row r="678" spans="1:22">
      <c r="A678">
        <v>677</v>
      </c>
      <c r="B678" s="5" t="s">
        <v>33</v>
      </c>
      <c r="C678">
        <v>5</v>
      </c>
      <c r="D678" t="s">
        <v>28</v>
      </c>
      <c r="E678">
        <v>10</v>
      </c>
      <c r="F678" t="s">
        <v>24</v>
      </c>
      <c r="I678">
        <f>H678-G678</f>
        <v>0</v>
      </c>
      <c r="J678">
        <v>5</v>
      </c>
      <c r="K678">
        <f t="shared" si="654"/>
        <v>57.157143750000003</v>
      </c>
      <c r="L678">
        <f t="shared" si="666"/>
        <v>0</v>
      </c>
      <c r="S678">
        <f t="shared" ref="S678" si="691">R678-N678</f>
        <v>0</v>
      </c>
      <c r="T678" t="e">
        <f t="shared" ref="T678" si="692">((O678-S678)/O678)*100</f>
        <v>#DIV/0!</v>
      </c>
      <c r="U678" t="e">
        <f t="shared" si="657"/>
        <v>#DIV/0!</v>
      </c>
      <c r="V678" t="e">
        <f>L678*(U678/100)</f>
        <v>#DIV/0!</v>
      </c>
    </row>
    <row r="679" spans="1:22">
      <c r="A679">
        <v>678</v>
      </c>
      <c r="B679" s="5" t="s">
        <v>33</v>
      </c>
      <c r="C679">
        <v>5</v>
      </c>
      <c r="D679" t="s">
        <v>28</v>
      </c>
      <c r="E679">
        <v>10</v>
      </c>
      <c r="F679" t="s">
        <v>25</v>
      </c>
      <c r="I679">
        <f>H679-G679</f>
        <v>0</v>
      </c>
      <c r="J679">
        <v>5</v>
      </c>
      <c r="K679">
        <f t="shared" si="654"/>
        <v>57.157143750000003</v>
      </c>
      <c r="L679">
        <f t="shared" si="666"/>
        <v>0</v>
      </c>
      <c r="M679" s="4"/>
      <c r="N679" s="4"/>
      <c r="O679" s="4"/>
      <c r="P679" s="4"/>
      <c r="Q679" s="4"/>
      <c r="R679" s="4"/>
    </row>
    <row r="680" spans="1:22">
      <c r="A680">
        <v>679</v>
      </c>
      <c r="B680" s="5" t="s">
        <v>33</v>
      </c>
      <c r="C680">
        <v>5</v>
      </c>
      <c r="D680" t="s">
        <v>28</v>
      </c>
      <c r="E680">
        <v>10</v>
      </c>
      <c r="F680" t="s">
        <v>26</v>
      </c>
      <c r="I680">
        <f>H680-G680</f>
        <v>0</v>
      </c>
      <c r="J680">
        <v>5</v>
      </c>
      <c r="K680">
        <f t="shared" si="654"/>
        <v>57.157143750000003</v>
      </c>
      <c r="L680">
        <f t="shared" si="666"/>
        <v>0</v>
      </c>
      <c r="S680">
        <f t="shared" ref="S680" si="693">R680-N680</f>
        <v>0</v>
      </c>
      <c r="T680" t="e">
        <f t="shared" ref="T680" si="694">((O680-S680)/O680)*100</f>
        <v>#DIV/0!</v>
      </c>
      <c r="U680" t="e">
        <f t="shared" si="657"/>
        <v>#DIV/0!</v>
      </c>
      <c r="V680" t="e">
        <f>L680*(U680/100)</f>
        <v>#DIV/0!</v>
      </c>
    </row>
    <row r="681" spans="1:22">
      <c r="A681">
        <v>680</v>
      </c>
      <c r="B681" s="5" t="s">
        <v>33</v>
      </c>
      <c r="C681">
        <v>5</v>
      </c>
      <c r="D681" t="s">
        <v>28</v>
      </c>
      <c r="E681">
        <v>10</v>
      </c>
      <c r="F681" t="s">
        <v>27</v>
      </c>
      <c r="I681">
        <f>H681-G681</f>
        <v>0</v>
      </c>
      <c r="J681">
        <v>5</v>
      </c>
      <c r="K681">
        <f t="shared" si="654"/>
        <v>57.157143750000003</v>
      </c>
      <c r="L681">
        <f t="shared" si="666"/>
        <v>0</v>
      </c>
      <c r="M681" s="4"/>
      <c r="N681" s="4"/>
      <c r="O681" s="4"/>
      <c r="P681" s="4"/>
      <c r="Q681" s="4"/>
      <c r="R681" s="4"/>
    </row>
    <row r="682" spans="1:22">
      <c r="A682">
        <v>681</v>
      </c>
      <c r="B682" s="5" t="s">
        <v>33</v>
      </c>
      <c r="C682">
        <v>5</v>
      </c>
      <c r="D682" t="s">
        <v>29</v>
      </c>
      <c r="E682">
        <v>10</v>
      </c>
      <c r="F682" t="s">
        <v>24</v>
      </c>
      <c r="I682">
        <f>H682-G682</f>
        <v>0</v>
      </c>
      <c r="J682">
        <v>5</v>
      </c>
      <c r="K682">
        <f t="shared" si="654"/>
        <v>57.157143750000003</v>
      </c>
      <c r="L682">
        <f t="shared" si="666"/>
        <v>0</v>
      </c>
      <c r="S682">
        <f t="shared" ref="S682" si="695">R682-N682</f>
        <v>0</v>
      </c>
      <c r="T682" t="e">
        <f t="shared" ref="T682" si="696">((O682-S682)/O682)*100</f>
        <v>#DIV/0!</v>
      </c>
      <c r="U682" t="e">
        <f t="shared" si="657"/>
        <v>#DIV/0!</v>
      </c>
      <c r="V682" t="e">
        <f>L682*(U682/100)</f>
        <v>#DIV/0!</v>
      </c>
    </row>
    <row r="683" spans="1:22">
      <c r="A683">
        <v>682</v>
      </c>
      <c r="B683" s="5" t="s">
        <v>33</v>
      </c>
      <c r="C683">
        <v>5</v>
      </c>
      <c r="D683" s="5" t="s">
        <v>29</v>
      </c>
      <c r="E683">
        <v>10</v>
      </c>
      <c r="F683" t="s">
        <v>25</v>
      </c>
      <c r="I683">
        <f>H683-G683</f>
        <v>0</v>
      </c>
      <c r="J683">
        <v>5</v>
      </c>
      <c r="K683">
        <f t="shared" si="654"/>
        <v>57.157143750000003</v>
      </c>
      <c r="L683">
        <f t="shared" si="666"/>
        <v>0</v>
      </c>
      <c r="M683" s="4"/>
      <c r="N683" s="4"/>
      <c r="O683" s="4"/>
      <c r="P683" s="4"/>
      <c r="Q683" s="4"/>
      <c r="R683" s="4"/>
    </row>
    <row r="684" spans="1:22">
      <c r="A684">
        <v>683</v>
      </c>
      <c r="B684" s="5" t="s">
        <v>33</v>
      </c>
      <c r="C684">
        <v>5</v>
      </c>
      <c r="D684" t="s">
        <v>29</v>
      </c>
      <c r="E684">
        <v>10</v>
      </c>
      <c r="F684" t="s">
        <v>26</v>
      </c>
      <c r="I684">
        <f>H684-G684</f>
        <v>0</v>
      </c>
      <c r="J684">
        <v>5</v>
      </c>
      <c r="K684">
        <f t="shared" si="654"/>
        <v>57.157143750000003</v>
      </c>
      <c r="L684">
        <f t="shared" si="666"/>
        <v>0</v>
      </c>
      <c r="S684">
        <f t="shared" ref="S684" si="697">R684-N684</f>
        <v>0</v>
      </c>
      <c r="T684" t="e">
        <f t="shared" ref="T684" si="698">((O684-S684)/O684)*100</f>
        <v>#DIV/0!</v>
      </c>
      <c r="U684" t="e">
        <f t="shared" si="657"/>
        <v>#DIV/0!</v>
      </c>
      <c r="V684" t="e">
        <f>L684*(U684/100)</f>
        <v>#DIV/0!</v>
      </c>
    </row>
    <row r="685" spans="1:22">
      <c r="A685">
        <v>684</v>
      </c>
      <c r="B685" s="5" t="s">
        <v>33</v>
      </c>
      <c r="C685">
        <v>5</v>
      </c>
      <c r="D685" s="5" t="s">
        <v>29</v>
      </c>
      <c r="E685">
        <v>10</v>
      </c>
      <c r="F685" t="s">
        <v>27</v>
      </c>
      <c r="I685">
        <f>H685-G685</f>
        <v>0</v>
      </c>
      <c r="J685">
        <v>5</v>
      </c>
      <c r="K685">
        <f t="shared" si="654"/>
        <v>57.157143750000003</v>
      </c>
      <c r="L685">
        <f t="shared" si="666"/>
        <v>0</v>
      </c>
      <c r="M685" s="4"/>
      <c r="N685" s="4"/>
      <c r="O685" s="4"/>
      <c r="P685" s="4"/>
      <c r="Q685" s="4"/>
      <c r="R685" s="4"/>
    </row>
    <row r="686" spans="1:22">
      <c r="A686">
        <v>685</v>
      </c>
      <c r="B686" s="5" t="s">
        <v>33</v>
      </c>
      <c r="C686">
        <v>5</v>
      </c>
      <c r="D686" t="s">
        <v>30</v>
      </c>
      <c r="E686">
        <v>10</v>
      </c>
      <c r="F686" t="s">
        <v>24</v>
      </c>
      <c r="I686">
        <f>H686-G686</f>
        <v>0</v>
      </c>
      <c r="J686">
        <v>5</v>
      </c>
      <c r="K686">
        <f t="shared" si="654"/>
        <v>57.157143750000003</v>
      </c>
      <c r="L686">
        <f t="shared" si="666"/>
        <v>0</v>
      </c>
      <c r="S686">
        <f t="shared" ref="S686" si="699">R686-N686</f>
        <v>0</v>
      </c>
      <c r="T686" t="e">
        <f t="shared" ref="T686" si="700">((O686-S686)/O686)*100</f>
        <v>#DIV/0!</v>
      </c>
      <c r="U686" t="e">
        <f t="shared" si="657"/>
        <v>#DIV/0!</v>
      </c>
      <c r="V686" t="e">
        <f>L686*(U686/100)</f>
        <v>#DIV/0!</v>
      </c>
    </row>
    <row r="687" spans="1:22">
      <c r="A687">
        <v>686</v>
      </c>
      <c r="B687" s="5" t="s">
        <v>33</v>
      </c>
      <c r="C687">
        <v>5</v>
      </c>
      <c r="D687" s="5" t="s">
        <v>30</v>
      </c>
      <c r="E687">
        <v>10</v>
      </c>
      <c r="F687" t="s">
        <v>25</v>
      </c>
      <c r="I687">
        <f>H687-G687</f>
        <v>0</v>
      </c>
      <c r="J687">
        <v>5</v>
      </c>
      <c r="K687">
        <f t="shared" si="654"/>
        <v>57.157143750000003</v>
      </c>
      <c r="L687">
        <f t="shared" si="666"/>
        <v>0</v>
      </c>
      <c r="M687" s="4"/>
      <c r="N687" s="4"/>
      <c r="O687" s="4"/>
      <c r="P687" s="4"/>
      <c r="Q687" s="4"/>
      <c r="R687" s="4"/>
    </row>
    <row r="688" spans="1:22">
      <c r="A688">
        <v>687</v>
      </c>
      <c r="B688" s="5" t="s">
        <v>33</v>
      </c>
      <c r="C688">
        <v>5</v>
      </c>
      <c r="D688" t="s">
        <v>30</v>
      </c>
      <c r="E688">
        <v>10</v>
      </c>
      <c r="F688" t="s">
        <v>26</v>
      </c>
      <c r="I688">
        <f>H688-G688</f>
        <v>0</v>
      </c>
      <c r="J688">
        <v>5</v>
      </c>
      <c r="K688">
        <f t="shared" si="654"/>
        <v>57.157143750000003</v>
      </c>
      <c r="L688">
        <f t="shared" si="666"/>
        <v>0</v>
      </c>
      <c r="S688">
        <f t="shared" ref="S688" si="701">R688-N688</f>
        <v>0</v>
      </c>
      <c r="T688" t="e">
        <f t="shared" ref="T688" si="702">((O688-S688)/O688)*100</f>
        <v>#DIV/0!</v>
      </c>
      <c r="U688" t="e">
        <f t="shared" si="657"/>
        <v>#DIV/0!</v>
      </c>
      <c r="V688" t="e">
        <f>L688*(U688/100)</f>
        <v>#DIV/0!</v>
      </c>
    </row>
    <row r="689" spans="1:22">
      <c r="A689">
        <v>688</v>
      </c>
      <c r="B689" s="5" t="s">
        <v>33</v>
      </c>
      <c r="C689">
        <v>5</v>
      </c>
      <c r="D689" s="5" t="s">
        <v>30</v>
      </c>
      <c r="E689">
        <v>10</v>
      </c>
      <c r="F689" t="s">
        <v>27</v>
      </c>
      <c r="I689">
        <f>H689-G689</f>
        <v>0</v>
      </c>
      <c r="J689">
        <v>5</v>
      </c>
      <c r="K689">
        <f t="shared" si="654"/>
        <v>57.157143750000003</v>
      </c>
      <c r="L689">
        <f t="shared" si="666"/>
        <v>0</v>
      </c>
      <c r="M689" s="4"/>
      <c r="N689" s="4"/>
      <c r="O689" s="4"/>
      <c r="P689" s="4"/>
      <c r="Q689" s="4"/>
      <c r="R689" s="4"/>
    </row>
    <row r="690" spans="1:22">
      <c r="A690">
        <v>689</v>
      </c>
      <c r="B690" s="5" t="s">
        <v>33</v>
      </c>
      <c r="C690">
        <v>5</v>
      </c>
      <c r="D690" t="s">
        <v>23</v>
      </c>
      <c r="E690">
        <v>11</v>
      </c>
      <c r="F690" s="5" t="s">
        <v>24</v>
      </c>
      <c r="I690">
        <f>H690-G690</f>
        <v>0</v>
      </c>
      <c r="J690">
        <v>5</v>
      </c>
      <c r="K690">
        <f t="shared" si="654"/>
        <v>57.157143750000003</v>
      </c>
      <c r="L690">
        <f t="shared" si="666"/>
        <v>0</v>
      </c>
      <c r="S690">
        <f t="shared" ref="S690" si="703">R690-N690</f>
        <v>0</v>
      </c>
      <c r="T690" t="e">
        <f t="shared" ref="T690" si="704">((O690-S690)/O690)*100</f>
        <v>#DIV/0!</v>
      </c>
      <c r="U690" t="e">
        <f t="shared" si="657"/>
        <v>#DIV/0!</v>
      </c>
      <c r="V690" t="e">
        <f>L690*(U690/100)</f>
        <v>#DIV/0!</v>
      </c>
    </row>
    <row r="691" spans="1:22">
      <c r="A691">
        <v>690</v>
      </c>
      <c r="B691" s="5" t="s">
        <v>33</v>
      </c>
      <c r="C691">
        <v>5</v>
      </c>
      <c r="D691" t="s">
        <v>23</v>
      </c>
      <c r="E691">
        <v>11</v>
      </c>
      <c r="F691" s="5" t="s">
        <v>25</v>
      </c>
      <c r="I691">
        <f>H691-G691</f>
        <v>0</v>
      </c>
      <c r="J691">
        <v>5</v>
      </c>
      <c r="K691">
        <f t="shared" si="654"/>
        <v>57.157143750000003</v>
      </c>
      <c r="L691">
        <f t="shared" si="666"/>
        <v>0</v>
      </c>
      <c r="M691" s="4"/>
      <c r="N691" s="4"/>
      <c r="O691" s="4"/>
      <c r="P691" s="4"/>
      <c r="Q691" s="4"/>
      <c r="R691" s="4"/>
    </row>
    <row r="692" spans="1:22">
      <c r="A692">
        <v>691</v>
      </c>
      <c r="B692" s="5" t="s">
        <v>33</v>
      </c>
      <c r="C692">
        <v>5</v>
      </c>
      <c r="D692" t="s">
        <v>23</v>
      </c>
      <c r="E692">
        <v>11</v>
      </c>
      <c r="F692" s="5" t="s">
        <v>26</v>
      </c>
      <c r="I692">
        <f>H692-G692</f>
        <v>0</v>
      </c>
      <c r="J692">
        <v>5</v>
      </c>
      <c r="K692">
        <f t="shared" si="654"/>
        <v>57.157143750000003</v>
      </c>
      <c r="L692">
        <f t="shared" si="666"/>
        <v>0</v>
      </c>
      <c r="S692">
        <f t="shared" ref="S692" si="705">R692-N692</f>
        <v>0</v>
      </c>
      <c r="T692" t="e">
        <f t="shared" ref="T692" si="706">((O692-S692)/O692)*100</f>
        <v>#DIV/0!</v>
      </c>
      <c r="U692" t="e">
        <f t="shared" si="657"/>
        <v>#DIV/0!</v>
      </c>
      <c r="V692" t="e">
        <f>L692*(U692/100)</f>
        <v>#DIV/0!</v>
      </c>
    </row>
    <row r="693" spans="1:22">
      <c r="A693">
        <v>692</v>
      </c>
      <c r="B693" s="5" t="s">
        <v>33</v>
      </c>
      <c r="C693">
        <v>5</v>
      </c>
      <c r="D693" t="s">
        <v>23</v>
      </c>
      <c r="E693">
        <v>11</v>
      </c>
      <c r="F693" s="5" t="s">
        <v>27</v>
      </c>
      <c r="I693">
        <f>H693-G693</f>
        <v>0</v>
      </c>
      <c r="J693">
        <v>5</v>
      </c>
      <c r="K693">
        <f t="shared" si="654"/>
        <v>57.157143750000003</v>
      </c>
      <c r="L693">
        <f t="shared" si="666"/>
        <v>0</v>
      </c>
      <c r="M693" s="4"/>
      <c r="N693" s="4"/>
      <c r="O693" s="4"/>
      <c r="P693" s="4"/>
      <c r="Q693" s="4"/>
      <c r="R693" s="4"/>
    </row>
    <row r="694" spans="1:22">
      <c r="A694">
        <v>693</v>
      </c>
      <c r="B694" s="5" t="s">
        <v>33</v>
      </c>
      <c r="C694">
        <v>5</v>
      </c>
      <c r="D694" t="s">
        <v>28</v>
      </c>
      <c r="E694">
        <v>11</v>
      </c>
      <c r="F694" s="5" t="s">
        <v>24</v>
      </c>
      <c r="I694">
        <f>H694-G694</f>
        <v>0</v>
      </c>
      <c r="J694">
        <v>5</v>
      </c>
      <c r="K694">
        <f t="shared" si="654"/>
        <v>57.157143750000003</v>
      </c>
      <c r="L694">
        <f t="shared" si="666"/>
        <v>0</v>
      </c>
      <c r="S694">
        <f t="shared" ref="S694" si="707">R694-N694</f>
        <v>0</v>
      </c>
      <c r="T694" t="e">
        <f t="shared" ref="T694" si="708">((O694-S694)/O694)*100</f>
        <v>#DIV/0!</v>
      </c>
      <c r="U694" t="e">
        <f t="shared" si="657"/>
        <v>#DIV/0!</v>
      </c>
      <c r="V694" t="e">
        <f>L694*(U694/100)</f>
        <v>#DIV/0!</v>
      </c>
    </row>
    <row r="695" spans="1:22">
      <c r="A695">
        <v>694</v>
      </c>
      <c r="B695" s="5" t="s">
        <v>33</v>
      </c>
      <c r="C695">
        <v>5</v>
      </c>
      <c r="D695" t="s">
        <v>28</v>
      </c>
      <c r="E695">
        <v>11</v>
      </c>
      <c r="F695" s="5" t="s">
        <v>25</v>
      </c>
      <c r="I695">
        <f>H695-G695</f>
        <v>0</v>
      </c>
      <c r="J695">
        <v>5</v>
      </c>
      <c r="K695">
        <f t="shared" si="654"/>
        <v>57.157143750000003</v>
      </c>
      <c r="L695">
        <f t="shared" si="666"/>
        <v>0</v>
      </c>
      <c r="M695" s="4"/>
      <c r="N695" s="4"/>
      <c r="O695" s="4"/>
      <c r="P695" s="4"/>
      <c r="Q695" s="4"/>
      <c r="R695" s="4"/>
    </row>
    <row r="696" spans="1:22">
      <c r="A696">
        <v>695</v>
      </c>
      <c r="B696" s="5" t="s">
        <v>33</v>
      </c>
      <c r="C696">
        <v>5</v>
      </c>
      <c r="D696" t="s">
        <v>28</v>
      </c>
      <c r="E696">
        <v>11</v>
      </c>
      <c r="F696" s="5" t="s">
        <v>26</v>
      </c>
      <c r="I696">
        <f>H696-G696</f>
        <v>0</v>
      </c>
      <c r="J696">
        <v>5</v>
      </c>
      <c r="K696">
        <f t="shared" si="654"/>
        <v>57.157143750000003</v>
      </c>
      <c r="L696">
        <f t="shared" si="666"/>
        <v>0</v>
      </c>
      <c r="S696">
        <f t="shared" ref="S696" si="709">R696-N696</f>
        <v>0</v>
      </c>
      <c r="T696" t="e">
        <f t="shared" ref="T696" si="710">((O696-S696)/O696)*100</f>
        <v>#DIV/0!</v>
      </c>
      <c r="U696" t="e">
        <f t="shared" si="657"/>
        <v>#DIV/0!</v>
      </c>
      <c r="V696" t="e">
        <f>L696*(U696/100)</f>
        <v>#DIV/0!</v>
      </c>
    </row>
    <row r="697" spans="1:22">
      <c r="A697">
        <v>696</v>
      </c>
      <c r="B697" s="5" t="s">
        <v>33</v>
      </c>
      <c r="C697">
        <v>5</v>
      </c>
      <c r="D697" t="s">
        <v>28</v>
      </c>
      <c r="E697">
        <v>11</v>
      </c>
      <c r="F697" s="5" t="s">
        <v>27</v>
      </c>
      <c r="I697">
        <f>H697-G697</f>
        <v>0</v>
      </c>
      <c r="J697">
        <v>5</v>
      </c>
      <c r="K697">
        <f t="shared" si="654"/>
        <v>57.157143750000003</v>
      </c>
      <c r="L697">
        <f t="shared" si="666"/>
        <v>0</v>
      </c>
      <c r="M697" s="4"/>
      <c r="N697" s="4"/>
      <c r="O697" s="4"/>
      <c r="P697" s="4"/>
      <c r="Q697" s="4"/>
      <c r="R697" s="4"/>
    </row>
    <row r="698" spans="1:22">
      <c r="A698">
        <v>697</v>
      </c>
      <c r="B698" s="5" t="s">
        <v>33</v>
      </c>
      <c r="C698">
        <v>5</v>
      </c>
      <c r="D698" t="s">
        <v>29</v>
      </c>
      <c r="E698">
        <v>11</v>
      </c>
      <c r="F698" s="5" t="s">
        <v>24</v>
      </c>
      <c r="I698">
        <f>H698-G698</f>
        <v>0</v>
      </c>
      <c r="J698">
        <v>5</v>
      </c>
      <c r="K698">
        <f t="shared" si="654"/>
        <v>57.157143750000003</v>
      </c>
      <c r="L698">
        <f t="shared" si="666"/>
        <v>0</v>
      </c>
      <c r="S698">
        <f t="shared" ref="S698" si="711">R698-N698</f>
        <v>0</v>
      </c>
      <c r="T698" t="e">
        <f t="shared" ref="T698" si="712">((O698-S698)/O698)*100</f>
        <v>#DIV/0!</v>
      </c>
      <c r="U698" t="e">
        <f t="shared" si="657"/>
        <v>#DIV/0!</v>
      </c>
      <c r="V698" t="e">
        <f>L698*(U698/100)</f>
        <v>#DIV/0!</v>
      </c>
    </row>
    <row r="699" spans="1:22">
      <c r="A699">
        <v>698</v>
      </c>
      <c r="B699" s="5" t="s">
        <v>33</v>
      </c>
      <c r="C699">
        <v>5</v>
      </c>
      <c r="D699" s="5" t="s">
        <v>29</v>
      </c>
      <c r="E699">
        <v>11</v>
      </c>
      <c r="F699" s="5" t="s">
        <v>25</v>
      </c>
      <c r="I699">
        <f>H699-G699</f>
        <v>0</v>
      </c>
      <c r="J699">
        <v>5</v>
      </c>
      <c r="K699">
        <f t="shared" si="654"/>
        <v>57.157143750000003</v>
      </c>
      <c r="L699">
        <f t="shared" si="666"/>
        <v>0</v>
      </c>
      <c r="M699" s="4"/>
      <c r="N699" s="4"/>
      <c r="O699" s="4"/>
      <c r="P699" s="4"/>
      <c r="Q699" s="4"/>
      <c r="R699" s="4"/>
    </row>
    <row r="700" spans="1:22">
      <c r="A700">
        <v>699</v>
      </c>
      <c r="B700" s="5" t="s">
        <v>33</v>
      </c>
      <c r="C700">
        <v>5</v>
      </c>
      <c r="D700" t="s">
        <v>29</v>
      </c>
      <c r="E700">
        <v>11</v>
      </c>
      <c r="F700" s="5" t="s">
        <v>26</v>
      </c>
      <c r="I700">
        <f>H700-G700</f>
        <v>0</v>
      </c>
      <c r="J700">
        <v>5</v>
      </c>
      <c r="K700">
        <f t="shared" si="654"/>
        <v>57.157143750000003</v>
      </c>
      <c r="L700">
        <f t="shared" si="666"/>
        <v>0</v>
      </c>
      <c r="S700">
        <f t="shared" ref="S700" si="713">R700-N700</f>
        <v>0</v>
      </c>
      <c r="T700" t="e">
        <f t="shared" ref="T700" si="714">((O700-S700)/O700)*100</f>
        <v>#DIV/0!</v>
      </c>
      <c r="U700" t="e">
        <f t="shared" si="657"/>
        <v>#DIV/0!</v>
      </c>
      <c r="V700" t="e">
        <f>L700*(U700/100)</f>
        <v>#DIV/0!</v>
      </c>
    </row>
    <row r="701" spans="1:22">
      <c r="A701">
        <v>700</v>
      </c>
      <c r="B701" s="5" t="s">
        <v>33</v>
      </c>
      <c r="C701">
        <v>5</v>
      </c>
      <c r="D701" s="5" t="s">
        <v>29</v>
      </c>
      <c r="E701">
        <v>11</v>
      </c>
      <c r="F701" s="5" t="s">
        <v>27</v>
      </c>
      <c r="I701">
        <f>H701-G701</f>
        <v>0</v>
      </c>
      <c r="J701">
        <v>5</v>
      </c>
      <c r="K701">
        <f t="shared" si="654"/>
        <v>57.157143750000003</v>
      </c>
      <c r="L701">
        <f t="shared" si="666"/>
        <v>0</v>
      </c>
      <c r="M701" s="4"/>
      <c r="N701" s="4"/>
      <c r="O701" s="4"/>
      <c r="P701" s="4"/>
      <c r="Q701" s="4"/>
      <c r="R701" s="4"/>
    </row>
    <row r="702" spans="1:22">
      <c r="A702">
        <v>701</v>
      </c>
      <c r="B702" s="5" t="s">
        <v>33</v>
      </c>
      <c r="C702">
        <v>5</v>
      </c>
      <c r="D702" t="s">
        <v>30</v>
      </c>
      <c r="E702">
        <v>11</v>
      </c>
      <c r="F702" s="5" t="s">
        <v>24</v>
      </c>
      <c r="I702">
        <f>H702-G702</f>
        <v>0</v>
      </c>
      <c r="J702">
        <v>5</v>
      </c>
      <c r="K702">
        <f t="shared" si="654"/>
        <v>57.157143750000003</v>
      </c>
      <c r="L702">
        <f t="shared" si="666"/>
        <v>0</v>
      </c>
      <c r="S702">
        <f t="shared" ref="S702" si="715">R702-N702</f>
        <v>0</v>
      </c>
      <c r="T702" t="e">
        <f t="shared" ref="T702" si="716">((O702-S702)/O702)*100</f>
        <v>#DIV/0!</v>
      </c>
      <c r="U702" t="e">
        <f t="shared" si="657"/>
        <v>#DIV/0!</v>
      </c>
      <c r="V702" t="e">
        <f>L702*(U702/100)</f>
        <v>#DIV/0!</v>
      </c>
    </row>
    <row r="703" spans="1:22">
      <c r="A703">
        <v>702</v>
      </c>
      <c r="B703" s="5" t="s">
        <v>33</v>
      </c>
      <c r="C703">
        <v>5</v>
      </c>
      <c r="D703" s="5" t="s">
        <v>30</v>
      </c>
      <c r="E703">
        <v>11</v>
      </c>
      <c r="F703" s="5" t="s">
        <v>25</v>
      </c>
      <c r="I703">
        <f>H703-G703</f>
        <v>0</v>
      </c>
      <c r="J703">
        <v>5</v>
      </c>
      <c r="K703">
        <f t="shared" si="654"/>
        <v>57.157143750000003</v>
      </c>
      <c r="L703">
        <f t="shared" si="666"/>
        <v>0</v>
      </c>
      <c r="M703" s="4"/>
      <c r="N703" s="4"/>
      <c r="O703" s="4"/>
      <c r="P703" s="4"/>
      <c r="Q703" s="4"/>
      <c r="R703" s="4"/>
    </row>
    <row r="704" spans="1:22">
      <c r="A704">
        <v>703</v>
      </c>
      <c r="B704" s="5" t="s">
        <v>33</v>
      </c>
      <c r="C704">
        <v>5</v>
      </c>
      <c r="D704" t="s">
        <v>30</v>
      </c>
      <c r="E704">
        <v>11</v>
      </c>
      <c r="F704" s="5" t="s">
        <v>26</v>
      </c>
      <c r="I704">
        <f>H704-G704</f>
        <v>0</v>
      </c>
      <c r="J704">
        <v>5</v>
      </c>
      <c r="K704">
        <f t="shared" si="654"/>
        <v>57.157143750000003</v>
      </c>
      <c r="L704">
        <f t="shared" si="666"/>
        <v>0</v>
      </c>
      <c r="S704">
        <f t="shared" ref="S704" si="717">R704-N704</f>
        <v>0</v>
      </c>
      <c r="T704" t="e">
        <f t="shared" ref="T704" si="718">((O704-S704)/O704)*100</f>
        <v>#DIV/0!</v>
      </c>
      <c r="U704" t="e">
        <f t="shared" si="657"/>
        <v>#DIV/0!</v>
      </c>
      <c r="V704" t="e">
        <f>L704*(U704/100)</f>
        <v>#DIV/0!</v>
      </c>
    </row>
    <row r="705" spans="1:22">
      <c r="A705">
        <v>704</v>
      </c>
      <c r="B705" s="5" t="s">
        <v>33</v>
      </c>
      <c r="C705">
        <v>5</v>
      </c>
      <c r="D705" s="5" t="s">
        <v>30</v>
      </c>
      <c r="E705">
        <v>11</v>
      </c>
      <c r="F705" s="5" t="s">
        <v>27</v>
      </c>
      <c r="I705">
        <f>H705-G705</f>
        <v>0</v>
      </c>
      <c r="J705">
        <v>5</v>
      </c>
      <c r="K705">
        <f t="shared" si="654"/>
        <v>57.157143750000003</v>
      </c>
      <c r="L705">
        <f t="shared" si="666"/>
        <v>0</v>
      </c>
      <c r="M705" s="4"/>
      <c r="N705" s="4"/>
      <c r="O705" s="4"/>
      <c r="P705" s="4"/>
      <c r="Q705" s="4"/>
      <c r="R705" s="4"/>
    </row>
    <row r="706" spans="1:22">
      <c r="A706">
        <v>705</v>
      </c>
      <c r="B706" s="5" t="s">
        <v>33</v>
      </c>
      <c r="C706">
        <v>5</v>
      </c>
      <c r="D706" t="s">
        <v>23</v>
      </c>
      <c r="E706">
        <v>12</v>
      </c>
      <c r="F706" s="5" t="s">
        <v>24</v>
      </c>
      <c r="I706">
        <f>H706-G706</f>
        <v>0</v>
      </c>
      <c r="J706">
        <v>5</v>
      </c>
      <c r="K706">
        <f t="shared" si="654"/>
        <v>57.157143750000003</v>
      </c>
      <c r="L706">
        <f t="shared" si="666"/>
        <v>0</v>
      </c>
      <c r="S706">
        <f t="shared" ref="S706" si="719">R706-N706</f>
        <v>0</v>
      </c>
      <c r="T706" t="e">
        <f t="shared" ref="T706" si="720">((O706-S706)/O706)*100</f>
        <v>#DIV/0!</v>
      </c>
      <c r="U706" t="e">
        <f t="shared" si="657"/>
        <v>#DIV/0!</v>
      </c>
      <c r="V706" t="e">
        <f>L706*(U706/100)</f>
        <v>#DIV/0!</v>
      </c>
    </row>
    <row r="707" spans="1:22">
      <c r="A707">
        <v>706</v>
      </c>
      <c r="B707" s="5" t="s">
        <v>33</v>
      </c>
      <c r="C707">
        <v>5</v>
      </c>
      <c r="D707" t="s">
        <v>23</v>
      </c>
      <c r="E707">
        <v>12</v>
      </c>
      <c r="F707" s="5" t="s">
        <v>25</v>
      </c>
      <c r="I707">
        <f>H707-G707</f>
        <v>0</v>
      </c>
      <c r="J707">
        <v>5</v>
      </c>
      <c r="K707">
        <f t="shared" ref="K707:K721" si="721">0.25*3.15*((7.62/2)^2)*J707</f>
        <v>57.157143750000003</v>
      </c>
      <c r="L707">
        <f t="shared" si="666"/>
        <v>0</v>
      </c>
      <c r="M707" s="4"/>
      <c r="N707" s="4"/>
      <c r="O707" s="4"/>
      <c r="P707" s="4"/>
      <c r="Q707" s="4"/>
      <c r="R707" s="4"/>
    </row>
    <row r="708" spans="1:22">
      <c r="A708">
        <v>707</v>
      </c>
      <c r="B708" s="5" t="s">
        <v>33</v>
      </c>
      <c r="C708">
        <v>5</v>
      </c>
      <c r="D708" t="s">
        <v>23</v>
      </c>
      <c r="E708">
        <v>12</v>
      </c>
      <c r="F708" s="5" t="s">
        <v>26</v>
      </c>
      <c r="I708">
        <f>H708-G708</f>
        <v>0</v>
      </c>
      <c r="J708">
        <v>5</v>
      </c>
      <c r="K708">
        <f t="shared" si="721"/>
        <v>57.157143750000003</v>
      </c>
      <c r="L708">
        <f t="shared" si="666"/>
        <v>0</v>
      </c>
      <c r="S708">
        <f t="shared" ref="S708" si="722">R708-N708</f>
        <v>0</v>
      </c>
      <c r="T708" t="e">
        <f t="shared" ref="T708" si="723">((O708-S708)/O708)*100</f>
        <v>#DIV/0!</v>
      </c>
      <c r="U708" t="e">
        <f t="shared" ref="U708:U720" si="724">-0.63+0.4*T708</f>
        <v>#DIV/0!</v>
      </c>
      <c r="V708" t="e">
        <f>L708*(U708/100)</f>
        <v>#DIV/0!</v>
      </c>
    </row>
    <row r="709" spans="1:22">
      <c r="A709">
        <v>708</v>
      </c>
      <c r="B709" s="5" t="s">
        <v>33</v>
      </c>
      <c r="C709">
        <v>5</v>
      </c>
      <c r="D709" t="s">
        <v>23</v>
      </c>
      <c r="E709">
        <v>12</v>
      </c>
      <c r="F709" s="5" t="s">
        <v>27</v>
      </c>
      <c r="I709">
        <f>H709-G709</f>
        <v>0</v>
      </c>
      <c r="J709">
        <v>5</v>
      </c>
      <c r="K709">
        <f t="shared" si="721"/>
        <v>57.157143750000003</v>
      </c>
      <c r="L709">
        <f t="shared" si="666"/>
        <v>0</v>
      </c>
      <c r="M709" s="4"/>
      <c r="N709" s="4"/>
      <c r="O709" s="4"/>
      <c r="P709" s="4"/>
      <c r="Q709" s="4"/>
      <c r="R709" s="4"/>
    </row>
    <row r="710" spans="1:22">
      <c r="A710">
        <v>709</v>
      </c>
      <c r="B710" s="5" t="s">
        <v>33</v>
      </c>
      <c r="C710">
        <v>5</v>
      </c>
      <c r="D710" t="s">
        <v>28</v>
      </c>
      <c r="E710">
        <v>12</v>
      </c>
      <c r="F710" s="5" t="s">
        <v>24</v>
      </c>
      <c r="I710">
        <f>H710-G710</f>
        <v>0</v>
      </c>
      <c r="J710">
        <v>5</v>
      </c>
      <c r="K710">
        <f t="shared" si="721"/>
        <v>57.157143750000003</v>
      </c>
      <c r="L710">
        <f t="shared" si="666"/>
        <v>0</v>
      </c>
      <c r="S710">
        <f t="shared" ref="S710" si="725">R710-N710</f>
        <v>0</v>
      </c>
      <c r="T710" t="e">
        <f t="shared" ref="T710" si="726">((O710-S710)/O710)*100</f>
        <v>#DIV/0!</v>
      </c>
      <c r="U710" t="e">
        <f t="shared" si="724"/>
        <v>#DIV/0!</v>
      </c>
      <c r="V710" t="e">
        <f>L710*(U710/100)</f>
        <v>#DIV/0!</v>
      </c>
    </row>
    <row r="711" spans="1:22">
      <c r="A711">
        <v>710</v>
      </c>
      <c r="B711" s="5" t="s">
        <v>33</v>
      </c>
      <c r="C711">
        <v>5</v>
      </c>
      <c r="D711" t="s">
        <v>28</v>
      </c>
      <c r="E711">
        <v>12</v>
      </c>
      <c r="F711" s="5" t="s">
        <v>25</v>
      </c>
      <c r="I711">
        <f>H711-G711</f>
        <v>0</v>
      </c>
      <c r="J711">
        <v>5</v>
      </c>
      <c r="K711">
        <f t="shared" si="721"/>
        <v>57.157143750000003</v>
      </c>
      <c r="L711">
        <f t="shared" si="666"/>
        <v>0</v>
      </c>
      <c r="M711" s="4"/>
      <c r="N711" s="4"/>
      <c r="O711" s="4"/>
      <c r="P711" s="4"/>
      <c r="Q711" s="4"/>
      <c r="R711" s="4"/>
    </row>
    <row r="712" spans="1:22">
      <c r="A712">
        <v>711</v>
      </c>
      <c r="B712" s="5" t="s">
        <v>33</v>
      </c>
      <c r="C712">
        <v>5</v>
      </c>
      <c r="D712" t="s">
        <v>28</v>
      </c>
      <c r="E712">
        <v>12</v>
      </c>
      <c r="F712" s="5" t="s">
        <v>26</v>
      </c>
      <c r="I712">
        <f>H712-G712</f>
        <v>0</v>
      </c>
      <c r="J712">
        <v>5</v>
      </c>
      <c r="K712">
        <f t="shared" si="721"/>
        <v>57.157143750000003</v>
      </c>
      <c r="L712">
        <f t="shared" si="666"/>
        <v>0</v>
      </c>
      <c r="S712">
        <f t="shared" ref="S712" si="727">R712-N712</f>
        <v>0</v>
      </c>
      <c r="T712" t="e">
        <f t="shared" ref="T712" si="728">((O712-S712)/O712)*100</f>
        <v>#DIV/0!</v>
      </c>
      <c r="U712" t="e">
        <f t="shared" si="724"/>
        <v>#DIV/0!</v>
      </c>
      <c r="V712" t="e">
        <f>L712*(U712/100)</f>
        <v>#DIV/0!</v>
      </c>
    </row>
    <row r="713" spans="1:22">
      <c r="A713">
        <v>712</v>
      </c>
      <c r="B713" s="5" t="s">
        <v>33</v>
      </c>
      <c r="C713">
        <v>5</v>
      </c>
      <c r="D713" t="s">
        <v>28</v>
      </c>
      <c r="E713">
        <v>12</v>
      </c>
      <c r="F713" s="5" t="s">
        <v>27</v>
      </c>
      <c r="I713">
        <f>H713-G713</f>
        <v>0</v>
      </c>
      <c r="J713">
        <v>5</v>
      </c>
      <c r="K713">
        <f t="shared" si="721"/>
        <v>57.157143750000003</v>
      </c>
      <c r="L713">
        <f t="shared" si="666"/>
        <v>0</v>
      </c>
      <c r="M713" s="4"/>
      <c r="N713" s="4"/>
      <c r="O713" s="4"/>
      <c r="P713" s="4"/>
      <c r="Q713" s="4"/>
      <c r="R713" s="4"/>
    </row>
    <row r="714" spans="1:22">
      <c r="A714">
        <v>713</v>
      </c>
      <c r="B714" s="5" t="s">
        <v>33</v>
      </c>
      <c r="C714">
        <v>5</v>
      </c>
      <c r="D714" t="s">
        <v>29</v>
      </c>
      <c r="E714">
        <v>12</v>
      </c>
      <c r="F714" s="5" t="s">
        <v>24</v>
      </c>
      <c r="I714">
        <f>H714-G714</f>
        <v>0</v>
      </c>
      <c r="J714">
        <v>5</v>
      </c>
      <c r="K714">
        <f t="shared" si="721"/>
        <v>57.157143750000003</v>
      </c>
      <c r="L714">
        <f t="shared" si="666"/>
        <v>0</v>
      </c>
      <c r="S714">
        <f t="shared" ref="S714" si="729">R714-N714</f>
        <v>0</v>
      </c>
      <c r="T714" t="e">
        <f t="shared" ref="T714" si="730">((O714-S714)/O714)*100</f>
        <v>#DIV/0!</v>
      </c>
      <c r="U714" t="e">
        <f t="shared" si="724"/>
        <v>#DIV/0!</v>
      </c>
      <c r="V714" t="e">
        <f>L714*(U714/100)</f>
        <v>#DIV/0!</v>
      </c>
    </row>
    <row r="715" spans="1:22">
      <c r="A715">
        <v>714</v>
      </c>
      <c r="B715" s="5" t="s">
        <v>33</v>
      </c>
      <c r="C715">
        <v>5</v>
      </c>
      <c r="D715" s="5" t="s">
        <v>29</v>
      </c>
      <c r="E715">
        <v>12</v>
      </c>
      <c r="F715" s="5" t="s">
        <v>25</v>
      </c>
      <c r="I715">
        <f>H715-G715</f>
        <v>0</v>
      </c>
      <c r="J715">
        <v>5</v>
      </c>
      <c r="K715">
        <f t="shared" si="721"/>
        <v>57.157143750000003</v>
      </c>
      <c r="L715">
        <f t="shared" si="666"/>
        <v>0</v>
      </c>
      <c r="M715" s="4"/>
      <c r="N715" s="4"/>
      <c r="O715" s="4"/>
      <c r="P715" s="4"/>
      <c r="Q715" s="4"/>
      <c r="R715" s="4"/>
    </row>
    <row r="716" spans="1:22">
      <c r="A716">
        <v>715</v>
      </c>
      <c r="B716" s="5" t="s">
        <v>33</v>
      </c>
      <c r="C716">
        <v>5</v>
      </c>
      <c r="D716" t="s">
        <v>29</v>
      </c>
      <c r="E716">
        <v>12</v>
      </c>
      <c r="F716" s="5" t="s">
        <v>26</v>
      </c>
      <c r="I716">
        <f>H716-G716</f>
        <v>0</v>
      </c>
      <c r="J716">
        <v>5</v>
      </c>
      <c r="K716">
        <f t="shared" si="721"/>
        <v>57.157143750000003</v>
      </c>
      <c r="L716">
        <f t="shared" si="666"/>
        <v>0</v>
      </c>
      <c r="S716">
        <f t="shared" ref="S716" si="731">R716-N716</f>
        <v>0</v>
      </c>
      <c r="T716" t="e">
        <f t="shared" ref="T716" si="732">((O716-S716)/O716)*100</f>
        <v>#DIV/0!</v>
      </c>
      <c r="U716" t="e">
        <f t="shared" si="724"/>
        <v>#DIV/0!</v>
      </c>
      <c r="V716" t="e">
        <f>L716*(U716/100)</f>
        <v>#DIV/0!</v>
      </c>
    </row>
    <row r="717" spans="1:22">
      <c r="A717">
        <v>716</v>
      </c>
      <c r="B717" s="5" t="s">
        <v>33</v>
      </c>
      <c r="C717">
        <v>5</v>
      </c>
      <c r="D717" s="5" t="s">
        <v>29</v>
      </c>
      <c r="E717">
        <v>12</v>
      </c>
      <c r="F717" s="5" t="s">
        <v>27</v>
      </c>
      <c r="I717">
        <f>H717-G717</f>
        <v>0</v>
      </c>
      <c r="J717">
        <v>5</v>
      </c>
      <c r="K717">
        <f t="shared" si="721"/>
        <v>57.157143750000003</v>
      </c>
      <c r="L717">
        <f t="shared" si="666"/>
        <v>0</v>
      </c>
      <c r="M717" s="4"/>
      <c r="N717" s="4"/>
      <c r="O717" s="4"/>
      <c r="P717" s="4"/>
      <c r="Q717" s="4"/>
      <c r="R717" s="4"/>
    </row>
    <row r="718" spans="1:22">
      <c r="A718">
        <v>717</v>
      </c>
      <c r="B718" s="5" t="s">
        <v>33</v>
      </c>
      <c r="C718">
        <v>5</v>
      </c>
      <c r="D718" t="s">
        <v>30</v>
      </c>
      <c r="E718">
        <v>12</v>
      </c>
      <c r="F718" s="5" t="s">
        <v>24</v>
      </c>
      <c r="I718">
        <f>H718-G718</f>
        <v>0</v>
      </c>
      <c r="J718">
        <v>5</v>
      </c>
      <c r="K718">
        <f t="shared" si="721"/>
        <v>57.157143750000003</v>
      </c>
      <c r="L718">
        <f t="shared" ref="L718:L721" si="733">I718/K718</f>
        <v>0</v>
      </c>
      <c r="S718">
        <f t="shared" ref="S718" si="734">R718-N718</f>
        <v>0</v>
      </c>
      <c r="T718" t="e">
        <f t="shared" ref="T718" si="735">((O718-S718)/O718)*100</f>
        <v>#DIV/0!</v>
      </c>
      <c r="U718" t="e">
        <f t="shared" si="724"/>
        <v>#DIV/0!</v>
      </c>
      <c r="V718" t="e">
        <f>L718*(U718/100)</f>
        <v>#DIV/0!</v>
      </c>
    </row>
    <row r="719" spans="1:22">
      <c r="A719">
        <v>718</v>
      </c>
      <c r="B719" s="5" t="s">
        <v>33</v>
      </c>
      <c r="C719">
        <v>5</v>
      </c>
      <c r="D719" s="5" t="s">
        <v>30</v>
      </c>
      <c r="E719">
        <v>12</v>
      </c>
      <c r="F719" s="5" t="s">
        <v>25</v>
      </c>
      <c r="I719">
        <f>H719-G719</f>
        <v>0</v>
      </c>
      <c r="J719">
        <v>5</v>
      </c>
      <c r="K719">
        <f t="shared" si="721"/>
        <v>57.157143750000003</v>
      </c>
      <c r="L719">
        <f t="shared" si="733"/>
        <v>0</v>
      </c>
      <c r="M719" s="4"/>
      <c r="N719" s="4"/>
      <c r="O719" s="4"/>
      <c r="P719" s="4"/>
      <c r="Q719" s="4"/>
      <c r="R719" s="4"/>
    </row>
    <row r="720" spans="1:22">
      <c r="A720">
        <v>719</v>
      </c>
      <c r="B720" s="5" t="s">
        <v>33</v>
      </c>
      <c r="C720">
        <v>5</v>
      </c>
      <c r="D720" t="s">
        <v>30</v>
      </c>
      <c r="E720">
        <v>12</v>
      </c>
      <c r="F720" s="5" t="s">
        <v>26</v>
      </c>
      <c r="I720">
        <f>H720-G720</f>
        <v>0</v>
      </c>
      <c r="J720">
        <v>5</v>
      </c>
      <c r="K720">
        <f t="shared" si="721"/>
        <v>57.157143750000003</v>
      </c>
      <c r="L720">
        <f t="shared" si="733"/>
        <v>0</v>
      </c>
      <c r="S720">
        <f t="shared" ref="S720" si="736">R720-N720</f>
        <v>0</v>
      </c>
      <c r="T720" t="e">
        <f t="shared" ref="T720" si="737">((O720-S720)/O720)*100</f>
        <v>#DIV/0!</v>
      </c>
      <c r="U720" t="e">
        <f t="shared" si="724"/>
        <v>#DIV/0!</v>
      </c>
      <c r="V720" t="e">
        <f>L720*(U720/100)</f>
        <v>#DIV/0!</v>
      </c>
    </row>
    <row r="721" spans="1:18">
      <c r="A721">
        <v>720</v>
      </c>
      <c r="B721" s="5" t="s">
        <v>33</v>
      </c>
      <c r="C721">
        <v>5</v>
      </c>
      <c r="D721" s="5" t="s">
        <v>30</v>
      </c>
      <c r="E721">
        <v>12</v>
      </c>
      <c r="F721" s="5" t="s">
        <v>27</v>
      </c>
      <c r="I721">
        <f>H721-G721</f>
        <v>0</v>
      </c>
      <c r="J721">
        <v>5</v>
      </c>
      <c r="K721">
        <f t="shared" si="721"/>
        <v>57.157143750000003</v>
      </c>
      <c r="L721">
        <f t="shared" si="733"/>
        <v>0</v>
      </c>
      <c r="M721" s="4"/>
      <c r="N721" s="4"/>
      <c r="O721" s="4"/>
      <c r="P721" s="4"/>
      <c r="Q721" s="4"/>
      <c r="R721" s="4"/>
    </row>
  </sheetData>
  <autoFilter ref="A1:V1" xr:uid="{911CF437-E31B-FD4D-A382-07BEC85FAD1B}"/>
  <sortState xmlns:xlrd2="http://schemas.microsoft.com/office/spreadsheetml/2017/richdata2" ref="B3:L152">
    <sortCondition ref="D1:D1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A30A-3AEB-BE43-BF00-9A37C24361CA}">
  <dimension ref="A1:AD3"/>
  <sheetViews>
    <sheetView tabSelected="1" workbookViewId="0">
      <selection activeCell="E2" sqref="E2"/>
    </sheetView>
  </sheetViews>
  <sheetFormatPr defaultColWidth="11.44140625" defaultRowHeight="15" customHeight="1"/>
  <cols>
    <col min="4" max="4" width="15" customWidth="1"/>
    <col min="5" max="5" width="14.109375" customWidth="1"/>
    <col min="7" max="7" width="15.44140625" customWidth="1"/>
    <col min="8" max="9" width="15.6640625" customWidth="1"/>
    <col min="10" max="10" width="16.109375" customWidth="1"/>
    <col min="11" max="11" width="23.109375" customWidth="1"/>
  </cols>
  <sheetData>
    <row r="1" spans="1:30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s="10">
        <v>4000</v>
      </c>
      <c r="X1" s="10">
        <v>2000</v>
      </c>
      <c r="Y1" s="10">
        <v>500</v>
      </c>
      <c r="Z1" s="10">
        <v>250</v>
      </c>
      <c r="AA1" s="10">
        <v>125</v>
      </c>
      <c r="AB1" s="10">
        <v>75</v>
      </c>
      <c r="AC1" s="10">
        <v>63</v>
      </c>
      <c r="AD1" s="10">
        <v>0</v>
      </c>
    </row>
    <row r="2" spans="1:30" ht="15.75">
      <c r="A2" t="s">
        <v>34</v>
      </c>
      <c r="B2" s="1" t="s">
        <v>35</v>
      </c>
      <c r="C2" s="2" t="s">
        <v>36</v>
      </c>
      <c r="D2" t="s">
        <v>37</v>
      </c>
      <c r="E2" s="18" t="s">
        <v>38</v>
      </c>
      <c r="F2" s="11" t="s">
        <v>39</v>
      </c>
      <c r="G2" t="s">
        <v>40</v>
      </c>
      <c r="H2" t="s">
        <v>40</v>
      </c>
      <c r="I2" t="s">
        <v>40</v>
      </c>
      <c r="J2" t="s">
        <v>41</v>
      </c>
      <c r="K2" t="s">
        <v>42</v>
      </c>
      <c r="L2" t="s">
        <v>43</v>
      </c>
      <c r="M2" t="s">
        <v>34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44</v>
      </c>
      <c r="U2" t="s">
        <v>44</v>
      </c>
      <c r="V2" t="s">
        <v>45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</row>
    <row r="3" spans="1:3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Ferraro</dc:creator>
  <cp:keywords/>
  <dc:description/>
  <cp:lastModifiedBy>Hannah Ferraro</cp:lastModifiedBy>
  <cp:revision/>
  <dcterms:created xsi:type="dcterms:W3CDTF">2025-05-27T16:07:11Z</dcterms:created>
  <dcterms:modified xsi:type="dcterms:W3CDTF">2025-11-19T17:42:12Z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76c56-7906-4b5b-aa9e-bc6dfecc55b4_Enabled">
    <vt:lpwstr>true</vt:lpwstr>
  </property>
  <property fmtid="{D5CDD505-2E9C-101B-9397-08002B2CF9AE}" pid="3" name="MSIP_Label_da076c56-7906-4b5b-aa9e-bc6dfecc55b4_SetDate">
    <vt:lpwstr>2025-05-27T16:15:09Z</vt:lpwstr>
  </property>
  <property fmtid="{D5CDD505-2E9C-101B-9397-08002B2CF9AE}" pid="4" name="MSIP_Label_da076c56-7906-4b5b-aa9e-bc6dfecc55b4_Method">
    <vt:lpwstr>Standard</vt:lpwstr>
  </property>
  <property fmtid="{D5CDD505-2E9C-101B-9397-08002B2CF9AE}" pid="5" name="MSIP_Label_da076c56-7906-4b5b-aa9e-bc6dfecc55b4_Name">
    <vt:lpwstr>defa4170-0d19-0005-0004-bc88714345d2</vt:lpwstr>
  </property>
  <property fmtid="{D5CDD505-2E9C-101B-9397-08002B2CF9AE}" pid="6" name="MSIP_Label_da076c56-7906-4b5b-aa9e-bc6dfecc55b4_SiteId">
    <vt:lpwstr>2545989e-0855-40fc-8985-8d3bd416e901</vt:lpwstr>
  </property>
  <property fmtid="{D5CDD505-2E9C-101B-9397-08002B2CF9AE}" pid="7" name="MSIP_Label_da076c56-7906-4b5b-aa9e-bc6dfecc55b4_ActionId">
    <vt:lpwstr>89d4bd7e-24d1-48dc-a59d-311c1b94042e</vt:lpwstr>
  </property>
  <property fmtid="{D5CDD505-2E9C-101B-9397-08002B2CF9AE}" pid="8" name="MSIP_Label_da076c56-7906-4b5b-aa9e-bc6dfecc55b4_ContentBits">
    <vt:lpwstr>0</vt:lpwstr>
  </property>
  <property fmtid="{D5CDD505-2E9C-101B-9397-08002B2CF9AE}" pid="9" name="MSIP_Label_da076c56-7906-4b5b-aa9e-bc6dfecc55b4_Tag">
    <vt:lpwstr>50, 3, 0, 1</vt:lpwstr>
  </property>
</Properties>
</file>